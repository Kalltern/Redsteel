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Review" sheetId="2" state="visible" r:id="rId2"/>
    <sheet name="Auto-accepted" sheetId="3" state="visible" r:id="rId3"/>
    <sheet name="Book rows" sheetId="4" state="visible" r:id="rId4"/>
  </sheets>
  <definedNames>
    <definedName name="_xlnm._FilterDatabase" localSheetId="1" hidden="1">'Review'!$A$1:$Q$125</definedName>
    <definedName name="_xlnm._FilterDatabase" localSheetId="2" hidden="1">'Auto-accepted'!$A$1:$I$100</definedName>
    <definedName name="_xlnm._FilterDatabase" localSheetId="3" hidden="1">'Book rows'!$A$1:$G$392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sz val="10"/>
    </font>
  </fonts>
  <fills count="5">
    <fill>
      <patternFill/>
    </fill>
    <fill>
      <patternFill patternType="gray125"/>
    </fill>
    <fill>
      <patternFill patternType="solid">
        <fgColor rgb="00D9D9D9"/>
      </patternFill>
    </fill>
    <fill>
      <patternFill patternType="solid">
        <fgColor rgb="00E2EFDA"/>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1" pivotButton="0" quotePrefix="0" xfId="0"/>
    <xf numFmtId="0" fontId="2" fillId="3" borderId="1" pivotButton="0" quotePrefix="0" xfId="0"/>
    <xf numFmtId="0" fontId="3" fillId="2" borderId="1" applyAlignment="1" pivotButton="0" quotePrefix="0" xfId="0">
      <alignment vertical="center" wrapText="1"/>
    </xf>
    <xf numFmtId="0" fontId="3" fillId="4" borderId="1" applyAlignment="1" pivotButton="0" quotePrefix="0" xfId="0">
      <alignment vertical="center" wrapText="1"/>
    </xf>
    <xf numFmtId="0" fontId="2" fillId="0" borderId="1" pivotButton="0" quotePrefix="0" xfId="0"/>
    <xf numFmtId="0" fontId="2" fillId="0" borderId="1" applyAlignment="1" pivotButton="0" quotePrefix="0" xfId="0">
      <alignment vertical="top" wrapText="1"/>
    </xf>
    <xf numFmtId="0" fontId="2" fillId="4" borderId="1" pivotButton="0" quotePrefix="0" xfId="0"/>
    <xf numFmtId="0" fontId="2" fillId="4" borderId="1" applyAlignment="1" pivotButton="0" quotePrefix="0" xfId="0">
      <alignment vertical="top" wrapText="1"/>
    </xf>
    <xf numFmtId="0" fontId="2" fillId="2" borderId="1" pivotButton="0" quotePrefix="0" xfId="0"/>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Claude</author>
  </authors>
  <commentList>
    <comment ref="H1" authorId="0" shapeId="0">
      <text>
        <t>Accept, Use row, Manual or Not buyable. See the How to use sheet.</t>
      </text>
    </comment>
    <comment ref="O1" authorId="0" shapeId="0">
      <text>
        <t>Formula: the price the Features tab will use. Do not edit.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20"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Feature price review</t>
        </is>
      </c>
    </row>
    <row r="2">
      <c r="A2" s="2" t="inlineStr"/>
    </row>
    <row r="3">
      <c r="A3" s="3" t="inlineStr">
        <is>
          <t>Why this exists</t>
        </is>
      </c>
    </row>
    <row r="4">
      <c r="A4" s="2" t="inlineStr">
        <is>
          <t>The Learn screen's Features tab needs a price and requirements for every feature in the compendium. 99 features matched the rules workbook (Odbornosti) automatically; they are listed on the Auto-accepted sheet for a spot check. The 124 on the Review sheet did not, and need your decision.</t>
        </is>
      </c>
    </row>
    <row r="5">
      <c r="A5" s="2" t="inlineStr"/>
    </row>
    <row r="6">
      <c r="A6" s="3" t="inlineStr">
        <is>
          <t>What to fill in (yellow columns on the Review sheet)</t>
        </is>
      </c>
    </row>
    <row r="7">
      <c r="A7" s="2" t="inlineStr">
        <is>
          <t>Decision: pick one from the dropdown.</t>
        </is>
      </c>
    </row>
    <row r="8">
      <c r="A8" s="2" t="inlineStr">
        <is>
          <t xml:space="preserve">   Accept = use the suggested book row (column D).</t>
        </is>
      </c>
    </row>
    <row r="9">
      <c r="A9" s="2" t="inlineStr">
        <is>
          <t xml:space="preserve">   Use row = use the book row number you type in column I (find numbers on the Book rows sheet).</t>
        </is>
      </c>
    </row>
    <row r="10">
      <c r="A10" s="2" t="inlineStr">
        <is>
          <t xml:space="preserve">   Manual = no book row fits; type the price in J, currency in K and requirements in L.</t>
        </is>
      </c>
    </row>
    <row r="11">
      <c r="A11" s="2" t="inlineStr">
        <is>
          <t xml:space="preserve">   Not buyable = leave this feature out of the Available list.</t>
        </is>
      </c>
    </row>
    <row r="12">
      <c r="A12" s="2" t="inlineStr">
        <is>
          <t>Requirements (L): write them the way the book does, Czech is fine, clauses separated by ; and alternatives by /. Example: Akrobacie V; Souboj V / Střelba V</t>
        </is>
      </c>
    </row>
    <row r="13">
      <c r="A13" s="2" t="inlineStr">
        <is>
          <t>Notes (M): anything I should know, e.g. "rename the item to match the book".</t>
        </is>
      </c>
    </row>
    <row r="14">
      <c r="A14" s="2" t="inlineStr"/>
    </row>
    <row r="15">
      <c r="A15" s="3" t="inlineStr">
        <is>
          <t>Pre-filled rows</t>
        </is>
      </c>
    </row>
    <row r="16">
      <c r="A16" s="2" t="inlineStr">
        <is>
          <t>Rows whose suggestion comes from a family rule (Specialization, Talented, Elven talent, Elven perfection, Adept: Combat) already say Accept. Change any you disagree with. Every other row is blank on purpose.</t>
        </is>
      </c>
    </row>
    <row r="17">
      <c r="A17" s="2" t="inlineStr"/>
    </row>
    <row r="18">
      <c r="A18" s="2" t="inlineStr">
        <is>
          <t>The grey columns N to Q are formulas showing what will actually be used. Do not edit them.</t>
        </is>
      </c>
    </row>
    <row r="19">
      <c r="A19" s="2" t="inlineStr"/>
    </row>
    <row r="20">
      <c r="A20" s="3" t="inlineStr">
        <is>
          <t>Example (a filled-in row, not part of the data)</t>
        </is>
      </c>
    </row>
    <row r="21">
      <c r="A21" s="4" t="inlineStr">
        <is>
          <t>Pack feature</t>
        </is>
      </c>
      <c r="B21" s="4" t="inlineStr">
        <is>
          <t>Decision</t>
        </is>
      </c>
      <c r="C21" s="4" t="inlineStr">
        <is>
          <t>Book row # (if Use row)</t>
        </is>
      </c>
      <c r="D21" s="4" t="inlineStr">
        <is>
          <t>Manual cost</t>
        </is>
      </c>
      <c r="E21" s="4" t="inlineStr">
        <is>
          <t>Manual currency</t>
        </is>
      </c>
      <c r="F21" s="4" t="inlineStr">
        <is>
          <t>Manual requirements</t>
        </is>
      </c>
      <c r="G21" s="4" t="inlineStr">
        <is>
          <t>Notes</t>
        </is>
      </c>
    </row>
    <row r="22">
      <c r="A22" s="5" t="inlineStr">
        <is>
          <t>Polearm master</t>
        </is>
      </c>
      <c r="B22" s="5" t="inlineStr">
        <is>
          <t>Manual</t>
        </is>
      </c>
      <c r="C22" s="5" t="inlineStr"/>
      <c r="D22" s="5" t="n">
        <v>5</v>
      </c>
      <c r="E22" s="5" t="inlineStr">
        <is>
          <t>CP</t>
        </is>
      </c>
      <c r="F22" s="5" t="inlineStr">
        <is>
          <t>Dřevcové VI; Učitel I</t>
        </is>
      </c>
      <c r="G22" s="5" t="inlineStr">
        <is>
          <t>Book has Dřevcový mistr at row 44, but that one needs no teacher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34" customWidth="1" min="3" max="3"/>
    <col width="10" customWidth="1" min="4" max="4"/>
    <col width="26" customWidth="1" min="5" max="5"/>
    <col width="40" customWidth="1" min="6" max="6"/>
    <col width="45" customWidth="1" min="7" max="7"/>
    <col width="13" customWidth="1" min="8" max="8"/>
    <col width="12" customWidth="1" min="9" max="9"/>
    <col width="10" customWidth="1" min="10" max="10"/>
    <col width="10" customWidth="1" min="11" max="11"/>
    <col width="34" customWidth="1" min="12" max="12"/>
    <col width="34" customWidth="1" min="13" max="13"/>
    <col width="10" customWidth="1" min="14" max="14"/>
    <col width="10" customWidth="1" min="15" max="15"/>
    <col width="10" customWidth="1" min="16" max="16"/>
    <col width="34" customWidth="1" min="17" max="17"/>
  </cols>
  <sheetData>
    <row r="1">
      <c r="A1" s="6" t="inlineStr">
        <is>
          <t>Pack feature (English)</t>
        </is>
      </c>
      <c r="B1" s="6" t="inlineStr">
        <is>
          <t>Czech name</t>
        </is>
      </c>
      <c r="C1" s="6" t="inlineStr">
        <is>
          <t>Pack folder</t>
        </is>
      </c>
      <c r="D1" s="6" t="inlineStr">
        <is>
          <t>Suggested book row #</t>
        </is>
      </c>
      <c r="E1" s="6" t="inlineStr">
        <is>
          <t>Suggested book name</t>
        </is>
      </c>
      <c r="F1" s="6" t="inlineStr">
        <is>
          <t>Why suggested</t>
        </is>
      </c>
      <c r="G1" s="6" t="inlineStr">
        <is>
          <t>Other candidates</t>
        </is>
      </c>
      <c r="H1" s="7" t="inlineStr">
        <is>
          <t>Decision</t>
        </is>
      </c>
      <c r="I1" s="7" t="inlineStr">
        <is>
          <t>Book row # (if Use row)</t>
        </is>
      </c>
      <c r="J1" s="7" t="inlineStr">
        <is>
          <t>Manual cost</t>
        </is>
      </c>
      <c r="K1" s="7" t="inlineStr">
        <is>
          <t>Manual currency</t>
        </is>
      </c>
      <c r="L1" s="7" t="inlineStr">
        <is>
          <t>Manual requirements</t>
        </is>
      </c>
      <c r="M1" s="7" t="inlineStr">
        <is>
          <t>Notes</t>
        </is>
      </c>
      <c r="N1" s="6" t="inlineStr">
        <is>
          <t>Resolved row #</t>
        </is>
      </c>
      <c r="O1" s="6" t="inlineStr">
        <is>
          <t>Resolved cost</t>
        </is>
      </c>
      <c r="P1" s="6" t="inlineStr">
        <is>
          <t>Resolved currency</t>
        </is>
      </c>
      <c r="Q1" s="6" t="inlineStr">
        <is>
          <t>Resolved requirements</t>
        </is>
      </c>
    </row>
    <row r="2">
      <c r="A2" s="8" t="inlineStr">
        <is>
          <t>Acrobatic defense</t>
        </is>
      </c>
      <c r="B2" s="8" t="inlineStr">
        <is>
          <t>Akrobatická obrana</t>
        </is>
      </c>
      <c r="C2" s="8" t="inlineStr">
        <is>
          <t>Features / Combat features</t>
        </is>
      </c>
      <c r="D2" s="8" t="n">
        <v>20</v>
      </c>
      <c r="E2" s="8" t="inlineStr">
        <is>
          <t>Akrobatická obrana I</t>
        </is>
      </c>
      <c r="F2" s="9" t="inlineStr">
        <is>
          <t>Book has tiers (I, II...) but the pack has one item; tier I suggested</t>
        </is>
      </c>
      <c r="G2" s="9" t="inlineStr">
        <is>
          <t>r22 Akrobatická obrana II (0.92); r24 Akrobatická obrana III (0.90); r26 Akrobat I (0.59); r338 Plošná obrana (0.58)</t>
        </is>
      </c>
      <c r="H2" s="10" t="n"/>
      <c r="I2" s="10" t="n"/>
      <c r="J2" s="10" t="n"/>
      <c r="K2" s="10" t="n"/>
      <c r="L2" s="11" t="n"/>
      <c r="M2" s="11" t="n"/>
      <c r="N2" s="12">
        <f>IF(H2="Accept",D2,IF(H2="Use row",I2,""))</f>
        <v/>
      </c>
      <c r="O2" s="12">
        <f>IF(H2="Manual",IF(J2="","",J2),IF(N2="","",IFERROR(INDEX('Book rows'!$D$2:$D$392,MATCH(N2,'Book rows'!$A$2:$A$392,0)),"row not found")))</f>
        <v/>
      </c>
      <c r="P2" s="12">
        <f>IF(H2="Manual",IF(K2="","",K2),IF(N2="","",IFERROR(INDEX('Book rows'!$E$2:$E$392,MATCH(N2,'Book rows'!$A$2:$A$392,0)),"row not found")))</f>
        <v/>
      </c>
      <c r="Q2" s="13">
        <f>IF(H2="Manual",IF(L2="","",L2),IF(N2="","",IFERROR(INDEX('Book rows'!$F$2:$F$392,MATCH(N2,'Book rows'!$A$2:$A$392,0)),"row not found")))</f>
        <v/>
      </c>
    </row>
    <row r="3">
      <c r="A3" s="8" t="inlineStr">
        <is>
          <t>Adept: Combat</t>
        </is>
      </c>
      <c r="B3" s="8" t="inlineStr">
        <is>
          <t>Adept: Souboj</t>
        </is>
      </c>
      <c r="C3" s="8" t="inlineStr">
        <is>
          <t>Features / Combat features</t>
        </is>
      </c>
      <c r="D3" s="8" t="n">
        <v>14</v>
      </c>
      <c r="E3" s="8" t="inlineStr">
        <is>
          <t>Adept boje</t>
        </is>
      </c>
      <c r="F3" s="9" t="inlineStr">
        <is>
          <t>Same feature: the book calls it Adept boje</t>
        </is>
      </c>
      <c r="G3" s="9" t="inlineStr">
        <is>
          <t>r16 Expert boje (0.61); r166 Zákeřný boj (0.52); r314 Adept Magie (0.52); r267 Spolubojovník (0.48)</t>
        </is>
      </c>
      <c r="H3" s="10" t="inlineStr">
        <is>
          <t>Accept</t>
        </is>
      </c>
      <c r="I3" s="10" t="n"/>
      <c r="J3" s="10" t="n"/>
      <c r="K3" s="10" t="n"/>
      <c r="L3" s="11" t="n"/>
      <c r="M3" s="11" t="n"/>
      <c r="N3" s="12">
        <f>IF(H3="Accept",D3,IF(H3="Use row",I3,""))</f>
        <v/>
      </c>
      <c r="O3" s="12">
        <f>IF(H3="Manual",IF(J3="","",J3),IF(N3="","",IFERROR(INDEX('Book rows'!$D$2:$D$392,MATCH(N3,'Book rows'!$A$2:$A$392,0)),"row not found")))</f>
        <v/>
      </c>
      <c r="P3" s="12">
        <f>IF(H3="Manual",IF(K3="","",K3),IF(N3="","",IFERROR(INDEX('Book rows'!$E$2:$E$392,MATCH(N3,'Book rows'!$A$2:$A$392,0)),"row not found")))</f>
        <v/>
      </c>
      <c r="Q3" s="13">
        <f>IF(H3="Manual",IF(L3="","",L3),IF(N3="","",IFERROR(INDEX('Book rows'!$F$2:$F$392,MATCH(N3,'Book rows'!$A$2:$A$392,0)),"row not found")))</f>
        <v/>
      </c>
    </row>
    <row r="4">
      <c r="A4" s="8" t="inlineStr">
        <is>
          <t>Battle Hardened I</t>
        </is>
      </c>
      <c r="B4" s="8" t="inlineStr">
        <is>
          <t>Zocelený bojem I</t>
        </is>
      </c>
      <c r="C4" s="8" t="inlineStr">
        <is>
          <t>Features / Combat features</t>
        </is>
      </c>
      <c r="D4" s="8" t="n">
        <v>176</v>
      </c>
      <c r="E4" s="8" t="inlineStr">
        <is>
          <t>Zocelený bojem</t>
        </is>
      </c>
      <c r="F4" s="9" t="inlineStr">
        <is>
          <t>Name looks alike (0.93); check it is the same feature</t>
        </is>
      </c>
      <c r="G4" s="9" t="inlineStr">
        <is>
          <t>r307 Zocelený (0.67); r166 Zákeřný boj (0.59); r16 Expert boje (0.52); r508 Železná kůže (0.50)</t>
        </is>
      </c>
      <c r="H4" s="10" t="n"/>
      <c r="I4" s="10" t="n"/>
      <c r="J4" s="10" t="n"/>
      <c r="K4" s="10" t="n"/>
      <c r="L4" s="11" t="n"/>
      <c r="M4" s="11" t="n"/>
      <c r="N4" s="12">
        <f>IF(H4="Accept",D4,IF(H4="Use row",I4,""))</f>
        <v/>
      </c>
      <c r="O4" s="12">
        <f>IF(H4="Manual",IF(J4="","",J4),IF(N4="","",IFERROR(INDEX('Book rows'!$D$2:$D$392,MATCH(N4,'Book rows'!$A$2:$A$392,0)),"row not found")))</f>
        <v/>
      </c>
      <c r="P4" s="12">
        <f>IF(H4="Manual",IF(K4="","",K4),IF(N4="","",IFERROR(INDEX('Book rows'!$E$2:$E$392,MATCH(N4,'Book rows'!$A$2:$A$392,0)),"row not found")))</f>
        <v/>
      </c>
      <c r="Q4" s="13">
        <f>IF(H4="Manual",IF(L4="","",L4),IF(N4="","",IFERROR(INDEX('Book rows'!$F$2:$F$392,MATCH(N4,'Book rows'!$A$2:$A$392,0)),"row not found")))</f>
        <v/>
      </c>
    </row>
    <row r="5">
      <c r="A5" s="8" t="inlineStr">
        <is>
          <t>Combat Genius</t>
        </is>
      </c>
      <c r="B5" s="8" t="inlineStr">
        <is>
          <t>Bojový génius</t>
        </is>
      </c>
      <c r="C5" s="8" t="inlineStr">
        <is>
          <t>Features / Combat features</t>
        </is>
      </c>
      <c r="D5" s="8" t="n">
        <v>38</v>
      </c>
      <c r="E5" s="8" t="inlineStr">
        <is>
          <t>Bojový génius I</t>
        </is>
      </c>
      <c r="F5" s="9" t="inlineStr">
        <is>
          <t>Book has tiers (I, II...) but the pack has one item; tier I suggested</t>
        </is>
      </c>
      <c r="G5" s="9" t="inlineStr">
        <is>
          <t>r40 Bojový génius II (0.90); r187 Bojová připravenost (0.56); r629 Obojživelník (0.56); r267 Spolubojovník (0.54)</t>
        </is>
      </c>
      <c r="H5" s="10" t="n"/>
      <c r="I5" s="10" t="n"/>
      <c r="J5" s="10" t="n"/>
      <c r="K5" s="10" t="n"/>
      <c r="L5" s="11" t="n"/>
      <c r="M5" s="11" t="n"/>
      <c r="N5" s="12">
        <f>IF(H5="Accept",D5,IF(H5="Use row",I5,""))</f>
        <v/>
      </c>
      <c r="O5" s="12">
        <f>IF(H5="Manual",IF(J5="","",J5),IF(N5="","",IFERROR(INDEX('Book rows'!$D$2:$D$392,MATCH(N5,'Book rows'!$A$2:$A$392,0)),"row not found")))</f>
        <v/>
      </c>
      <c r="P5" s="12">
        <f>IF(H5="Manual",IF(K5="","",K5),IF(N5="","",IFERROR(INDEX('Book rows'!$E$2:$E$392,MATCH(N5,'Book rows'!$A$2:$A$392,0)),"row not found")))</f>
        <v/>
      </c>
      <c r="Q5" s="13">
        <f>IF(H5="Manual",IF(L5="","",L5),IF(N5="","",IFERROR(INDEX('Book rows'!$F$2:$F$392,MATCH(N5,'Book rows'!$A$2:$A$392,0)),"row not found")))</f>
        <v/>
      </c>
    </row>
    <row r="6">
      <c r="A6" s="8" t="inlineStr">
        <is>
          <t>Deadly Lunge</t>
        </is>
      </c>
      <c r="B6" s="8" t="inlineStr">
        <is>
          <t>Smrtící výpad</t>
        </is>
      </c>
      <c r="C6" s="8" t="inlineStr">
        <is>
          <t>Features / Combat features</t>
        </is>
      </c>
      <c r="D6" s="8" t="n">
        <v>140</v>
      </c>
      <c r="E6" s="8" t="inlineStr">
        <is>
          <t>Smrtící výpad I</t>
        </is>
      </c>
      <c r="F6" s="9" t="inlineStr">
        <is>
          <t>Book has tiers (I, II...) but the pack has one item; tier I suggested</t>
        </is>
      </c>
      <c r="G6" s="9" t="inlineStr">
        <is>
          <t>r142 Smrtící výpad II (0.90); r821 Smrtící spáry (0.77); r104 Precizní výpad (0.67); r659 Dračí výdrž (0.58)</t>
        </is>
      </c>
      <c r="H6" s="10" t="n"/>
      <c r="I6" s="10" t="n"/>
      <c r="J6" s="10" t="n"/>
      <c r="K6" s="10" t="n"/>
      <c r="L6" s="11" t="n"/>
      <c r="M6" s="11" t="n"/>
      <c r="N6" s="12">
        <f>IF(H6="Accept",D6,IF(H6="Use row",I6,""))</f>
        <v/>
      </c>
      <c r="O6" s="12">
        <f>IF(H6="Manual",IF(J6="","",J6),IF(N6="","",IFERROR(INDEX('Book rows'!$D$2:$D$392,MATCH(N6,'Book rows'!$A$2:$A$392,0)),"row not found")))</f>
        <v/>
      </c>
      <c r="P6" s="12">
        <f>IF(H6="Manual",IF(K6="","",K6),IF(N6="","",IFERROR(INDEX('Book rows'!$E$2:$E$392,MATCH(N6,'Book rows'!$A$2:$A$392,0)),"row not found")))</f>
        <v/>
      </c>
      <c r="Q6" s="13">
        <f>IF(H6="Manual",IF(L6="","",L6),IF(N6="","",IFERROR(INDEX('Book rows'!$F$2:$F$392,MATCH(N6,'Book rows'!$A$2:$A$392,0)),"row not found")))</f>
        <v/>
      </c>
    </row>
    <row r="7">
      <c r="A7" s="8" t="inlineStr">
        <is>
          <t>Deep Slash</t>
        </is>
      </c>
      <c r="B7" s="8" t="inlineStr">
        <is>
          <t>Hluboký sek</t>
        </is>
      </c>
      <c r="C7" s="8" t="inlineStr">
        <is>
          <t>Features / Combat features</t>
        </is>
      </c>
      <c r="D7" s="8" t="n">
        <v>702</v>
      </c>
      <c r="E7" s="8" t="inlineStr">
        <is>
          <t>Hluboký spánek</t>
        </is>
      </c>
      <c r="F7" s="9" t="inlineStr">
        <is>
          <t>Name looks alike (0.88); check it is the same feature</t>
        </is>
      </c>
      <c r="G7" s="9" t="inlineStr">
        <is>
          <t>r797 Hluboká znalost (0.62); r54 Hluboká rána (0.61); r324 Hluboké soustředění (0.60); r422 Hluboká nenávist (0.59)</t>
        </is>
      </c>
      <c r="H7" s="10" t="n"/>
      <c r="I7" s="10" t="n"/>
      <c r="J7" s="10" t="n"/>
      <c r="K7" s="10" t="n"/>
      <c r="L7" s="11" t="n"/>
      <c r="M7" s="11" t="n"/>
      <c r="N7" s="12">
        <f>IF(H7="Accept",D7,IF(H7="Use row",I7,""))</f>
        <v/>
      </c>
      <c r="O7" s="12">
        <f>IF(H7="Manual",IF(J7="","",J7),IF(N7="","",IFERROR(INDEX('Book rows'!$D$2:$D$392,MATCH(N7,'Book rows'!$A$2:$A$392,0)),"row not found")))</f>
        <v/>
      </c>
      <c r="P7" s="12">
        <f>IF(H7="Manual",IF(K7="","",K7),IF(N7="","",IFERROR(INDEX('Book rows'!$E$2:$E$392,MATCH(N7,'Book rows'!$A$2:$A$392,0)),"row not found")))</f>
        <v/>
      </c>
      <c r="Q7" s="13">
        <f>IF(H7="Manual",IF(L7="","",L7),IF(N7="","",IFERROR(INDEX('Book rows'!$F$2:$F$392,MATCH(N7,'Book rows'!$A$2:$A$392,0)),"row not found")))</f>
        <v/>
      </c>
    </row>
    <row r="8">
      <c r="A8" s="8" t="inlineStr">
        <is>
          <t>Endurance of Stone</t>
        </is>
      </c>
      <c r="B8" s="8" t="inlineStr">
        <is>
          <t>Kamenná výdrž</t>
        </is>
      </c>
      <c r="C8" s="8" t="inlineStr">
        <is>
          <t>Features / Combat features</t>
        </is>
      </c>
      <c r="D8" s="8" t="n"/>
      <c r="E8" s="8" t="n"/>
      <c r="F8" s="9" t="inlineStr">
        <is>
          <t>No real candidate in the book</t>
        </is>
      </c>
      <c r="G8" s="9" t="inlineStr">
        <is>
          <t>r659 Dračí výdrž (0.58); r360 Temperament Vody (0.48); r104 Precizní výpad (0.44); r373 Kouzelné zvíře (0.44); r376 Temperament Vzduchu (0.44)</t>
        </is>
      </c>
      <c r="H8" s="10" t="n"/>
      <c r="I8" s="10" t="n"/>
      <c r="J8" s="10" t="n"/>
      <c r="K8" s="10" t="n"/>
      <c r="L8" s="11" t="n"/>
      <c r="M8" s="11" t="n"/>
      <c r="N8" s="12">
        <f>IF(H8="Accept",D8,IF(H8="Use row",I8,""))</f>
        <v/>
      </c>
      <c r="O8" s="12">
        <f>IF(H8="Manual",IF(J8="","",J8),IF(N8="","",IFERROR(INDEX('Book rows'!$D$2:$D$392,MATCH(N8,'Book rows'!$A$2:$A$392,0)),"row not found")))</f>
        <v/>
      </c>
      <c r="P8" s="12">
        <f>IF(H8="Manual",IF(K8="","",K8),IF(N8="","",IFERROR(INDEX('Book rows'!$E$2:$E$392,MATCH(N8,'Book rows'!$A$2:$A$392,0)),"row not found")))</f>
        <v/>
      </c>
      <c r="Q8" s="13">
        <f>IF(H8="Manual",IF(L8="","",L8),IF(N8="","",IFERROR(INDEX('Book rows'!$F$2:$F$392,MATCH(N8,'Book rows'!$A$2:$A$392,0)),"row not found")))</f>
        <v/>
      </c>
    </row>
    <row r="9">
      <c r="A9" s="8" t="inlineStr">
        <is>
          <t>Flesh Rending</t>
        </is>
      </c>
      <c r="B9" s="8" t="inlineStr">
        <is>
          <t>Drásání</t>
        </is>
      </c>
      <c r="C9" s="8" t="inlineStr">
        <is>
          <t>Features / Combat features</t>
        </is>
      </c>
      <c r="D9" s="8" t="n"/>
      <c r="E9" s="8" t="n"/>
      <c r="F9" s="9" t="inlineStr">
        <is>
          <t>No real candidate in the book</t>
        </is>
      </c>
      <c r="G9" s="9" t="inlineStr">
        <is>
          <t>r795 Moudrá sova (0.56); r749 Prastarý (0.53); r663 Dračí šupiny (0.53); r559 Dar Calistei (0.53); r116 Přetažení (0.50)</t>
        </is>
      </c>
      <c r="H9" s="10" t="n"/>
      <c r="I9" s="10" t="n"/>
      <c r="J9" s="10" t="n"/>
      <c r="K9" s="10" t="n"/>
      <c r="L9" s="11" t="n"/>
      <c r="M9" s="11" t="n"/>
      <c r="N9" s="12">
        <f>IF(H9="Accept",D9,IF(H9="Use row",I9,""))</f>
        <v/>
      </c>
      <c r="O9" s="12">
        <f>IF(H9="Manual",IF(J9="","",J9),IF(N9="","",IFERROR(INDEX('Book rows'!$D$2:$D$392,MATCH(N9,'Book rows'!$A$2:$A$392,0)),"row not found")))</f>
        <v/>
      </c>
      <c r="P9" s="12">
        <f>IF(H9="Manual",IF(K9="","",K9),IF(N9="","",IFERROR(INDEX('Book rows'!$E$2:$E$392,MATCH(N9,'Book rows'!$A$2:$A$392,0)),"row not found")))</f>
        <v/>
      </c>
      <c r="Q9" s="13">
        <f>IF(H9="Manual",IF(L9="","",L9),IF(N9="","",IFERROR(INDEX('Book rows'!$F$2:$F$392,MATCH(N9,'Book rows'!$A$2:$A$392,0)),"row not found")))</f>
        <v/>
      </c>
    </row>
    <row r="10">
      <c r="A10" s="8" t="inlineStr">
        <is>
          <t>Haste</t>
        </is>
      </c>
      <c r="B10" s="8" t="inlineStr">
        <is>
          <t>Zrychlení</t>
        </is>
      </c>
      <c r="C10" s="8" t="inlineStr">
        <is>
          <t>Features / Combat features</t>
        </is>
      </c>
      <c r="D10" s="8" t="n">
        <v>350</v>
      </c>
      <c r="E10" s="8" t="inlineStr">
        <is>
          <t>Zrychlené čarování</t>
        </is>
      </c>
      <c r="F10" s="9" t="inlineStr">
        <is>
          <t>Weak name match (0.67); likely wrong</t>
        </is>
      </c>
      <c r="G10" s="9" t="inlineStr">
        <is>
          <t>r724 Rozptýlení (0.63); r128 Rychlý útočník (0.61); r813 Rychlý stín (0.60); r126 Rychlé ruce (0.60)</t>
        </is>
      </c>
      <c r="H10" s="10" t="n"/>
      <c r="I10" s="10" t="n"/>
      <c r="J10" s="10" t="n"/>
      <c r="K10" s="10" t="n"/>
      <c r="L10" s="11" t="n"/>
      <c r="M10" s="11" t="n"/>
      <c r="N10" s="12">
        <f>IF(H10="Accept",D10,IF(H10="Use row",I10,""))</f>
        <v/>
      </c>
      <c r="O10" s="12">
        <f>IF(H10="Manual",IF(J10="","",J10),IF(N10="","",IFERROR(INDEX('Book rows'!$D$2:$D$392,MATCH(N10,'Book rows'!$A$2:$A$392,0)),"row not found")))</f>
        <v/>
      </c>
      <c r="P10" s="12">
        <f>IF(H10="Manual",IF(K10="","",K10),IF(N10="","",IFERROR(INDEX('Book rows'!$E$2:$E$392,MATCH(N10,'Book rows'!$A$2:$A$392,0)),"row not found")))</f>
        <v/>
      </c>
      <c r="Q10" s="13">
        <f>IF(H10="Manual",IF(L10="","",L10),IF(N10="","",IFERROR(INDEX('Book rows'!$F$2:$F$392,MATCH(N10,'Book rows'!$A$2:$A$392,0)),"row not found")))</f>
        <v/>
      </c>
    </row>
    <row r="11">
      <c r="A11" s="8" t="inlineStr">
        <is>
          <t>Huntsman</t>
        </is>
      </c>
      <c r="B11" s="8" t="inlineStr">
        <is>
          <t>Lovec</t>
        </is>
      </c>
      <c r="C11" s="8" t="inlineStr">
        <is>
          <t>Features / Combat features</t>
        </is>
      </c>
      <c r="D11" s="8" t="n">
        <v>281</v>
      </c>
      <c r="E11" s="8" t="inlineStr">
        <is>
          <t>Svalovec I</t>
        </is>
      </c>
      <c r="F11" s="9" t="inlineStr">
        <is>
          <t>Weak name match (0.67); likely wrong</t>
        </is>
      </c>
      <c r="G11" s="9" t="inlineStr">
        <is>
          <t>r283 Svalovec II (0.62); r42 Dobrý lovec (0.62); r803 Rychlý lovec (0.59); r811 Zlodějíček (0.53)</t>
        </is>
      </c>
      <c r="H11" s="10" t="n"/>
      <c r="I11" s="10" t="n"/>
      <c r="J11" s="10" t="n"/>
      <c r="K11" s="10" t="n"/>
      <c r="L11" s="11" t="n"/>
      <c r="M11" s="11" t="n"/>
      <c r="N11" s="12">
        <f>IF(H11="Accept",D11,IF(H11="Use row",I11,""))</f>
        <v/>
      </c>
      <c r="O11" s="12">
        <f>IF(H11="Manual",IF(J11="","",J11),IF(N11="","",IFERROR(INDEX('Book rows'!$D$2:$D$392,MATCH(N11,'Book rows'!$A$2:$A$392,0)),"row not found")))</f>
        <v/>
      </c>
      <c r="P11" s="12">
        <f>IF(H11="Manual",IF(K11="","",K11),IF(N11="","",IFERROR(INDEX('Book rows'!$E$2:$E$392,MATCH(N11,'Book rows'!$A$2:$A$392,0)),"row not found")))</f>
        <v/>
      </c>
      <c r="Q11" s="13">
        <f>IF(H11="Manual",IF(L11="","",L11),IF(N11="","",IFERROR(INDEX('Book rows'!$F$2:$F$392,MATCH(N11,'Book rows'!$A$2:$A$392,0)),"row not found")))</f>
        <v/>
      </c>
    </row>
    <row r="12">
      <c r="A12" s="8" t="inlineStr">
        <is>
          <t>Leg Sweep</t>
        </is>
      </c>
      <c r="B12" s="8" t="inlineStr">
        <is>
          <t>Podkopnutí</t>
        </is>
      </c>
      <c r="C12" s="8" t="inlineStr">
        <is>
          <t>Features / Combat features</t>
        </is>
      </c>
      <c r="D12" s="8" t="n">
        <v>355</v>
      </c>
      <c r="E12" s="8" t="inlineStr">
        <is>
          <t>Podpálení</t>
        </is>
      </c>
      <c r="F12" s="9" t="inlineStr">
        <is>
          <t>Weak name match (0.63); likely wrong</t>
        </is>
      </c>
      <c r="G12" s="9" t="inlineStr">
        <is>
          <t>r106 Prohození (0.53); r743 Divoké rozseknutí (0.52); r458 Dotek pochopení (0.48); r70 Krvavé nabodnutí (0.46)</t>
        </is>
      </c>
      <c r="H12" s="10" t="n"/>
      <c r="I12" s="10" t="n"/>
      <c r="J12" s="10" t="n"/>
      <c r="K12" s="10" t="n"/>
      <c r="L12" s="11" t="n"/>
      <c r="M12" s="11" t="n"/>
      <c r="N12" s="12">
        <f>IF(H12="Accept",D12,IF(H12="Use row",I12,""))</f>
        <v/>
      </c>
      <c r="O12" s="12">
        <f>IF(H12="Manual",IF(J12="","",J12),IF(N12="","",IFERROR(INDEX('Book rows'!$D$2:$D$392,MATCH(N12,'Book rows'!$A$2:$A$392,0)),"row not found")))</f>
        <v/>
      </c>
      <c r="P12" s="12">
        <f>IF(H12="Manual",IF(K12="","",K12),IF(N12="","",IFERROR(INDEX('Book rows'!$E$2:$E$392,MATCH(N12,'Book rows'!$A$2:$A$392,0)),"row not found")))</f>
        <v/>
      </c>
      <c r="Q12" s="13">
        <f>IF(H12="Manual",IF(L12="","",L12),IF(N12="","",IFERROR(INDEX('Book rows'!$F$2:$F$392,MATCH(N12,'Book rows'!$A$2:$A$392,0)),"row not found")))</f>
        <v/>
      </c>
    </row>
    <row r="13">
      <c r="A13" s="8" t="inlineStr">
        <is>
          <t>Perseverance</t>
        </is>
      </c>
      <c r="B13" s="8" t="inlineStr">
        <is>
          <t>Vytrvalost</t>
        </is>
      </c>
      <c r="C13" s="8" t="inlineStr">
        <is>
          <t>Features / Combat features</t>
        </is>
      </c>
      <c r="D13" s="8" t="n">
        <v>637</v>
      </c>
      <c r="E13" s="8" t="inlineStr">
        <is>
          <t>Ještěří vytrvalost</t>
        </is>
      </c>
      <c r="F13" s="9" t="inlineStr">
        <is>
          <t>Weak name match (0.71); likely wrong</t>
        </is>
      </c>
      <c r="G13" s="9" t="inlineStr">
        <is>
          <t>r737 Yormunská vytrvalost (0.67); r496 Trpasličí vytrvalost (0.67); r30 Atletická vytrvalost (0.67); r676 Netrpělivost (0.55)</t>
        </is>
      </c>
      <c r="H13" s="10" t="n"/>
      <c r="I13" s="10" t="n"/>
      <c r="J13" s="10" t="n"/>
      <c r="K13" s="10" t="n"/>
      <c r="L13" s="11" t="n"/>
      <c r="M13" s="11" t="n"/>
      <c r="N13" s="12">
        <f>IF(H13="Accept",D13,IF(H13="Use row",I13,""))</f>
        <v/>
      </c>
      <c r="O13" s="12">
        <f>IF(H13="Manual",IF(J13="","",J13),IF(N13="","",IFERROR(INDEX('Book rows'!$D$2:$D$392,MATCH(N13,'Book rows'!$A$2:$A$392,0)),"row not found")))</f>
        <v/>
      </c>
      <c r="P13" s="12">
        <f>IF(H13="Manual",IF(K13="","",K13),IF(N13="","",IFERROR(INDEX('Book rows'!$E$2:$E$392,MATCH(N13,'Book rows'!$A$2:$A$392,0)),"row not found")))</f>
        <v/>
      </c>
      <c r="Q13" s="13">
        <f>IF(H13="Manual",IF(L13="","",L13),IF(N13="","",IFERROR(INDEX('Book rows'!$F$2:$F$392,MATCH(N13,'Book rows'!$A$2:$A$392,0)),"row not found")))</f>
        <v/>
      </c>
    </row>
    <row r="14">
      <c r="A14" s="8" t="inlineStr">
        <is>
          <t>Polearm master</t>
        </is>
      </c>
      <c r="B14" s="8" t="inlineStr">
        <is>
          <t>Mistr ratišťových zbraní</t>
        </is>
      </c>
      <c r="C14" s="8" t="inlineStr">
        <is>
          <t>Features / Combat features</t>
        </is>
      </c>
      <c r="D14" s="8" t="n"/>
      <c r="E14" s="8" t="n"/>
      <c r="F14" s="9" t="inlineStr">
        <is>
          <t>No real candidate in the book</t>
        </is>
      </c>
      <c r="G14" s="9" t="inlineStr">
        <is>
          <t>r243 Mistr slov (0.53); r241 Mistr pastí (0.51); r46 Exotické zbraně I (0.49); r48 Exotické zbraně II (0.48); r76 Mistr vrhu (0.47)</t>
        </is>
      </c>
      <c r="H14" s="10" t="n"/>
      <c r="I14" s="10" t="n"/>
      <c r="J14" s="10" t="n"/>
      <c r="K14" s="10" t="n"/>
      <c r="L14" s="11" t="n"/>
      <c r="M14" s="11" t="n"/>
      <c r="N14" s="12">
        <f>IF(H14="Accept",D14,IF(H14="Use row",I14,""))</f>
        <v/>
      </c>
      <c r="O14" s="12">
        <f>IF(H14="Manual",IF(J14="","",J14),IF(N14="","",IFERROR(INDEX('Book rows'!$D$2:$D$392,MATCH(N14,'Book rows'!$A$2:$A$392,0)),"row not found")))</f>
        <v/>
      </c>
      <c r="P14" s="12">
        <f>IF(H14="Manual",IF(K14="","",K14),IF(N14="","",IFERROR(INDEX('Book rows'!$E$2:$E$392,MATCH(N14,'Book rows'!$A$2:$A$392,0)),"row not found")))</f>
        <v/>
      </c>
      <c r="Q14" s="13">
        <f>IF(H14="Manual",IF(L14="","",L14),IF(N14="","",IFERROR(INDEX('Book rows'!$F$2:$F$392,MATCH(N14,'Book rows'!$A$2:$A$392,0)),"row not found")))</f>
        <v/>
      </c>
    </row>
    <row r="15">
      <c r="A15" s="8" t="inlineStr">
        <is>
          <t>Precise lunge</t>
        </is>
      </c>
      <c r="B15" s="8" t="inlineStr">
        <is>
          <t>Přesný výpad</t>
        </is>
      </c>
      <c r="C15" s="8" t="inlineStr">
        <is>
          <t>Features / Combat features</t>
        </is>
      </c>
      <c r="D15" s="8" t="n">
        <v>104</v>
      </c>
      <c r="E15" s="8" t="inlineStr">
        <is>
          <t>Precizní výpad</t>
        </is>
      </c>
      <c r="F15" s="9" t="inlineStr">
        <is>
          <t>Weak name match (0.77); likely wrong</t>
        </is>
      </c>
      <c r="G15" s="9" t="inlineStr">
        <is>
          <t>r114 Přesný zásah (0.67); r716 Přirozený vůdce (0.59); r809 Černý pařát (0.52); r140 Smrtící výpad I (0.52)</t>
        </is>
      </c>
      <c r="H15" s="10" t="n"/>
      <c r="I15" s="10" t="n"/>
      <c r="J15" s="10" t="n"/>
      <c r="K15" s="10" t="n"/>
      <c r="L15" s="11" t="n"/>
      <c r="M15" s="11" t="n"/>
      <c r="N15" s="12">
        <f>IF(H15="Accept",D15,IF(H15="Use row",I15,""))</f>
        <v/>
      </c>
      <c r="O15" s="12">
        <f>IF(H15="Manual",IF(J15="","",J15),IF(N15="","",IFERROR(INDEX('Book rows'!$D$2:$D$392,MATCH(N15,'Book rows'!$A$2:$A$392,0)),"row not found")))</f>
        <v/>
      </c>
      <c r="P15" s="12">
        <f>IF(H15="Manual",IF(K15="","",K15),IF(N15="","",IFERROR(INDEX('Book rows'!$E$2:$E$392,MATCH(N15,'Book rows'!$A$2:$A$392,0)),"row not found")))</f>
        <v/>
      </c>
      <c r="Q15" s="13">
        <f>IF(H15="Manual",IF(L15="","",L15),IF(N15="","",IFERROR(INDEX('Book rows'!$F$2:$F$392,MATCH(N15,'Book rows'!$A$2:$A$392,0)),"row not found")))</f>
        <v/>
      </c>
    </row>
    <row r="16">
      <c r="A16" s="8" t="inlineStr">
        <is>
          <t>Precision strike</t>
        </is>
      </c>
      <c r="B16" s="8" t="inlineStr">
        <is>
          <t>Přesný úder</t>
        </is>
      </c>
      <c r="C16" s="8" t="inlineStr">
        <is>
          <t>Features / Combat features</t>
        </is>
      </c>
      <c r="D16" s="8" t="n">
        <v>716</v>
      </c>
      <c r="E16" s="8" t="inlineStr">
        <is>
          <t>Přirozený vůdce</t>
        </is>
      </c>
      <c r="F16" s="9" t="inlineStr">
        <is>
          <t>Weak name match (0.69); likely wrong</t>
        </is>
      </c>
      <c r="G16" s="9" t="inlineStr">
        <is>
          <t>r114 Přesný zásah (0.61); r561 Mořský dech (0.55); r762 Požehnaný dotek (0.54); r694 Bezedný žaludek (0.54)</t>
        </is>
      </c>
      <c r="H16" s="10" t="n"/>
      <c r="I16" s="10" t="n"/>
      <c r="J16" s="10" t="n"/>
      <c r="K16" s="10" t="n"/>
      <c r="L16" s="11" t="n"/>
      <c r="M16" s="11" t="n"/>
      <c r="N16" s="12">
        <f>IF(H16="Accept",D16,IF(H16="Use row",I16,""))</f>
        <v/>
      </c>
      <c r="O16" s="12">
        <f>IF(H16="Manual",IF(J16="","",J16),IF(N16="","",IFERROR(INDEX('Book rows'!$D$2:$D$392,MATCH(N16,'Book rows'!$A$2:$A$392,0)),"row not found")))</f>
        <v/>
      </c>
      <c r="P16" s="12">
        <f>IF(H16="Manual",IF(K16="","",K16),IF(N16="","",IFERROR(INDEX('Book rows'!$E$2:$E$392,MATCH(N16,'Book rows'!$A$2:$A$392,0)),"row not found")))</f>
        <v/>
      </c>
      <c r="Q16" s="13">
        <f>IF(H16="Manual",IF(L16="","",L16),IF(N16="","",IFERROR(INDEX('Book rows'!$F$2:$F$392,MATCH(N16,'Book rows'!$A$2:$A$392,0)),"row not found")))</f>
        <v/>
      </c>
    </row>
    <row r="17">
      <c r="A17" s="8" t="inlineStr">
        <is>
          <t>Speedy advantage</t>
        </is>
      </c>
      <c r="B17" s="8" t="inlineStr">
        <is>
          <t>Výhoda rychlosti</t>
        </is>
      </c>
      <c r="C17" s="8" t="inlineStr">
        <is>
          <t>Features / Combat features</t>
        </is>
      </c>
      <c r="D17" s="8" t="n"/>
      <c r="E17" s="8" t="n"/>
      <c r="F17" s="9" t="inlineStr">
        <is>
          <t>No real candidate in the book</t>
        </is>
      </c>
      <c r="G17" s="9" t="inlineStr">
        <is>
          <t>r813 Rychlý stín (0.59); r559 Dar Calistei (0.57); r797 Hluboká znalost (0.52); r471 Lidská učenlivost I (0.51); r714 Vražedná zarputilost (0.50)</t>
        </is>
      </c>
      <c r="H17" s="10" t="n"/>
      <c r="I17" s="10" t="n"/>
      <c r="J17" s="10" t="n"/>
      <c r="K17" s="10" t="n"/>
      <c r="L17" s="11" t="n"/>
      <c r="M17" s="11" t="n"/>
      <c r="N17" s="12">
        <f>IF(H17="Accept",D17,IF(H17="Use row",I17,""))</f>
        <v/>
      </c>
      <c r="O17" s="12">
        <f>IF(H17="Manual",IF(J17="","",J17),IF(N17="","",IFERROR(INDEX('Book rows'!$D$2:$D$392,MATCH(N17,'Book rows'!$A$2:$A$392,0)),"row not found")))</f>
        <v/>
      </c>
      <c r="P17" s="12">
        <f>IF(H17="Manual",IF(K17="","",K17),IF(N17="","",IFERROR(INDEX('Book rows'!$E$2:$E$392,MATCH(N17,'Book rows'!$A$2:$A$392,0)),"row not found")))</f>
        <v/>
      </c>
      <c r="Q17" s="13">
        <f>IF(H17="Manual",IF(L17="","",L17),IF(N17="","",IFERROR(INDEX('Book rows'!$F$2:$F$392,MATCH(N17,'Book rows'!$A$2:$A$392,0)),"row not found")))</f>
        <v/>
      </c>
    </row>
    <row r="18">
      <c r="A18" s="8" t="inlineStr">
        <is>
          <t>Strain</t>
        </is>
      </c>
      <c r="B18" s="8" t="inlineStr">
        <is>
          <t>Vypětí</t>
        </is>
      </c>
      <c r="C18" s="8" t="inlineStr">
        <is>
          <t>Features / Combat features</t>
        </is>
      </c>
      <c r="D18" s="8" t="n"/>
      <c r="E18" s="8" t="n"/>
      <c r="F18" s="9" t="inlineStr">
        <is>
          <t>No real candidate in the book</t>
        </is>
      </c>
      <c r="G18" s="9" t="inlineStr">
        <is>
          <t>r116 Přetažení (0.53); r213 Expertíza (0.53); r100 Práče I (0.46); r102 Práče II (0.43); r512 Partizán (0.43)</t>
        </is>
      </c>
      <c r="H18" s="10" t="n"/>
      <c r="I18" s="10" t="n"/>
      <c r="J18" s="10" t="n"/>
      <c r="K18" s="10" t="n"/>
      <c r="L18" s="11" t="n"/>
      <c r="M18" s="11" t="n"/>
      <c r="N18" s="12">
        <f>IF(H18="Accept",D18,IF(H18="Use row",I18,""))</f>
        <v/>
      </c>
      <c r="O18" s="12">
        <f>IF(H18="Manual",IF(J18="","",J18),IF(N18="","",IFERROR(INDEX('Book rows'!$D$2:$D$392,MATCH(N18,'Book rows'!$A$2:$A$392,0)),"row not found")))</f>
        <v/>
      </c>
      <c r="P18" s="12">
        <f>IF(H18="Manual",IF(K18="","",K18),IF(N18="","",IFERROR(INDEX('Book rows'!$E$2:$E$392,MATCH(N18,'Book rows'!$A$2:$A$392,0)),"row not found")))</f>
        <v/>
      </c>
      <c r="Q18" s="13">
        <f>IF(H18="Manual",IF(L18="","",L18),IF(N18="","",IFERROR(INDEX('Book rows'!$F$2:$F$392,MATCH(N18,'Book rows'!$A$2:$A$392,0)),"row not found")))</f>
        <v/>
      </c>
    </row>
    <row r="19">
      <c r="A19" s="8" t="inlineStr">
        <is>
          <t>Sundering Blows I</t>
        </is>
      </c>
      <c r="B19" s="8" t="inlineStr">
        <is>
          <t>Drtivé údery I</t>
        </is>
      </c>
      <c r="C19" s="8" t="inlineStr">
        <is>
          <t>Features / Combat features</t>
        </is>
      </c>
      <c r="D19" s="8" t="n">
        <v>665</v>
      </c>
      <c r="E19" s="8" t="inlineStr">
        <is>
          <t>Dračí dech I</t>
        </is>
      </c>
      <c r="F19" s="9" t="inlineStr">
        <is>
          <t>Weak name match (0.62); likely wrong</t>
        </is>
      </c>
      <c r="G19" s="9" t="inlineStr">
        <is>
          <t>r667 Dračí dech II (0.59); r678 Zuřivé plameny (0.50); r551 Dar Caerys (0.50); r140 Smrtící výpad I (0.48)</t>
        </is>
      </c>
      <c r="H19" s="10" t="n"/>
      <c r="I19" s="10" t="n"/>
      <c r="J19" s="10" t="n"/>
      <c r="K19" s="10" t="n"/>
      <c r="L19" s="11" t="n"/>
      <c r="M19" s="11" t="n"/>
      <c r="N19" s="12">
        <f>IF(H19="Accept",D19,IF(H19="Use row",I19,""))</f>
        <v/>
      </c>
      <c r="O19" s="12">
        <f>IF(H19="Manual",IF(J19="","",J19),IF(N19="","",IFERROR(INDEX('Book rows'!$D$2:$D$392,MATCH(N19,'Book rows'!$A$2:$A$392,0)),"row not found")))</f>
        <v/>
      </c>
      <c r="P19" s="12">
        <f>IF(H19="Manual",IF(K19="","",K19),IF(N19="","",IFERROR(INDEX('Book rows'!$E$2:$E$392,MATCH(N19,'Book rows'!$A$2:$A$392,0)),"row not found")))</f>
        <v/>
      </c>
      <c r="Q19" s="13">
        <f>IF(H19="Manual",IF(L19="","",L19),IF(N19="","",IFERROR(INDEX('Book rows'!$F$2:$F$392,MATCH(N19,'Book rows'!$A$2:$A$392,0)),"row not found")))</f>
        <v/>
      </c>
    </row>
    <row r="20">
      <c r="A20" s="8" t="inlineStr">
        <is>
          <t>Sundering Blows II</t>
        </is>
      </c>
      <c r="B20" s="8" t="inlineStr">
        <is>
          <t>Drtivé údery II</t>
        </is>
      </c>
      <c r="C20" s="8" t="inlineStr">
        <is>
          <t>Features / Combat features</t>
        </is>
      </c>
      <c r="D20" s="8" t="n">
        <v>667</v>
      </c>
      <c r="E20" s="8" t="inlineStr">
        <is>
          <t>Dračí dech II</t>
        </is>
      </c>
      <c r="F20" s="9" t="inlineStr">
        <is>
          <t>Weak name match (0.64); likely wrong</t>
        </is>
      </c>
      <c r="G20" s="9" t="inlineStr">
        <is>
          <t>r665 Dračí dech I (0.59); r142 Smrtící výpad II (0.52); r110 Průbojné rány II (0.52); r48 Exotické zbraně II (0.48)</t>
        </is>
      </c>
      <c r="H20" s="10" t="n"/>
      <c r="I20" s="10" t="n"/>
      <c r="J20" s="10" t="n"/>
      <c r="K20" s="10" t="n"/>
      <c r="L20" s="11" t="n"/>
      <c r="M20" s="11" t="n"/>
      <c r="N20" s="12">
        <f>IF(H20="Accept",D20,IF(H20="Use row",I20,""))</f>
        <v/>
      </c>
      <c r="O20" s="12">
        <f>IF(H20="Manual",IF(J20="","",J20),IF(N20="","",IFERROR(INDEX('Book rows'!$D$2:$D$392,MATCH(N20,'Book rows'!$A$2:$A$392,0)),"row not found")))</f>
        <v/>
      </c>
      <c r="P20" s="12">
        <f>IF(H20="Manual",IF(K20="","",K20),IF(N20="","",IFERROR(INDEX('Book rows'!$E$2:$E$392,MATCH(N20,'Book rows'!$A$2:$A$392,0)),"row not found")))</f>
        <v/>
      </c>
      <c r="Q20" s="13">
        <f>IF(H20="Manual",IF(L20="","",L20),IF(N20="","",IFERROR(INDEX('Book rows'!$F$2:$F$392,MATCH(N20,'Book rows'!$A$2:$A$392,0)),"row not found")))</f>
        <v/>
      </c>
    </row>
    <row r="21">
      <c r="A21" s="8" t="inlineStr">
        <is>
          <t>Dwarven toughness</t>
        </is>
      </c>
      <c r="B21" s="8" t="inlineStr">
        <is>
          <t>Trpasličí houževnatost</t>
        </is>
      </c>
      <c r="C21" s="8" t="inlineStr">
        <is>
          <t>Features / Dwarven features</t>
        </is>
      </c>
      <c r="D21" s="8" t="n">
        <v>500</v>
      </c>
      <c r="E21" s="8" t="inlineStr">
        <is>
          <t>Trpasličí odolnost</t>
        </is>
      </c>
      <c r="F21" s="9" t="inlineStr">
        <is>
          <t>Weak name match (0.75); likely wrong</t>
        </is>
      </c>
      <c r="G21" s="9" t="inlineStr">
        <is>
          <t>r496 Trpasličí vytrvalost (0.71); r498 Trpasličí nezdolnost (0.71); r56 Houževnatost (0.71); r506 Trpasličí talent (0.68)</t>
        </is>
      </c>
      <c r="H21" s="10" t="n"/>
      <c r="I21" s="10" t="n"/>
      <c r="J21" s="10" t="n"/>
      <c r="K21" s="10" t="n"/>
      <c r="L21" s="11" t="n"/>
      <c r="M21" s="11" t="n"/>
      <c r="N21" s="12">
        <f>IF(H21="Accept",D21,IF(H21="Use row",I21,""))</f>
        <v/>
      </c>
      <c r="O21" s="12">
        <f>IF(H21="Manual",IF(J21="","",J21),IF(N21="","",IFERROR(INDEX('Book rows'!$D$2:$D$392,MATCH(N21,'Book rows'!$A$2:$A$392,0)),"row not found")))</f>
        <v/>
      </c>
      <c r="P21" s="12">
        <f>IF(H21="Manual",IF(K21="","",K21),IF(N21="","",IFERROR(INDEX('Book rows'!$E$2:$E$392,MATCH(N21,'Book rows'!$A$2:$A$392,0)),"row not found")))</f>
        <v/>
      </c>
      <c r="Q21" s="13">
        <f>IF(H21="Manual",IF(L21="","",L21),IF(N21="","",IFERROR(INDEX('Book rows'!$F$2:$F$392,MATCH(N21,'Book rows'!$A$2:$A$392,0)),"row not found")))</f>
        <v/>
      </c>
    </row>
    <row r="22">
      <c r="A22" s="8" t="inlineStr">
        <is>
          <t>Elven grace</t>
        </is>
      </c>
      <c r="B22" s="8" t="inlineStr">
        <is>
          <t>Elfí ladnost</t>
        </is>
      </c>
      <c r="C22" s="8" t="inlineStr">
        <is>
          <t>Features / Elven features</t>
        </is>
      </c>
      <c r="D22" s="8" t="n">
        <v>541</v>
      </c>
      <c r="E22" s="8" t="inlineStr">
        <is>
          <t>Měsíční ladnost</t>
        </is>
      </c>
      <c r="F22" s="9" t="inlineStr">
        <is>
          <t>Weak name match (0.74); likely wrong</t>
        </is>
      </c>
      <c r="G22" s="9" t="inlineStr">
        <is>
          <t>r519 Elfská zručnost (0.59); r521 Elfská mrštnost (0.59); r531 Elfský talent (0.56); r533 Elfská dokonalost (0.55)</t>
        </is>
      </c>
      <c r="H22" s="10" t="n"/>
      <c r="I22" s="10" t="n"/>
      <c r="J22" s="10" t="n"/>
      <c r="K22" s="10" t="n"/>
      <c r="L22" s="11" t="n"/>
      <c r="M22" s="11" t="n"/>
      <c r="N22" s="12">
        <f>IF(H22="Accept",D22,IF(H22="Use row",I22,""))</f>
        <v/>
      </c>
      <c r="O22" s="12">
        <f>IF(H22="Manual",IF(J22="","",J22),IF(N22="","",IFERROR(INDEX('Book rows'!$D$2:$D$392,MATCH(N22,'Book rows'!$A$2:$A$392,0)),"row not found")))</f>
        <v/>
      </c>
      <c r="P22" s="12">
        <f>IF(H22="Manual",IF(K22="","",K22),IF(N22="","",IFERROR(INDEX('Book rows'!$E$2:$E$392,MATCH(N22,'Book rows'!$A$2:$A$392,0)),"row not found")))</f>
        <v/>
      </c>
      <c r="Q22" s="13">
        <f>IF(H22="Manual",IF(L22="","",L22),IF(N22="","",IFERROR(INDEX('Book rows'!$F$2:$F$392,MATCH(N22,'Book rows'!$A$2:$A$392,0)),"row not found")))</f>
        <v/>
      </c>
    </row>
    <row r="23">
      <c r="A23" s="8" t="inlineStr">
        <is>
          <t>Elven reflexes</t>
        </is>
      </c>
      <c r="B23" s="8" t="inlineStr">
        <is>
          <t>Elfí reflexy</t>
        </is>
      </c>
      <c r="C23" s="8" t="inlineStr">
        <is>
          <t>Features / Elven features</t>
        </is>
      </c>
      <c r="D23" s="8" t="n">
        <v>523</v>
      </c>
      <c r="E23" s="8" t="inlineStr">
        <is>
          <t>Elfské reflexy</t>
        </is>
      </c>
      <c r="F23" s="9" t="inlineStr">
        <is>
          <t>Name looks alike (0.85); check it is the same feature</t>
        </is>
      </c>
      <c r="G23" s="9" t="inlineStr">
        <is>
          <t>r779 Dravčí reflexy (0.69); r36 Bleskové reflexy (0.64); r531 Elfský talent (0.48); r442 Přítel lesa (0.43)</t>
        </is>
      </c>
      <c r="H23" s="10" t="n"/>
      <c r="I23" s="10" t="n"/>
      <c r="J23" s="10" t="n"/>
      <c r="K23" s="10" t="n"/>
      <c r="L23" s="11" t="n"/>
      <c r="M23" s="11" t="n"/>
      <c r="N23" s="12">
        <f>IF(H23="Accept",D23,IF(H23="Use row",I23,""))</f>
        <v/>
      </c>
      <c r="O23" s="12">
        <f>IF(H23="Manual",IF(J23="","",J23),IF(N23="","",IFERROR(INDEX('Book rows'!$D$2:$D$392,MATCH(N23,'Book rows'!$A$2:$A$392,0)),"row not found")))</f>
        <v/>
      </c>
      <c r="P23" s="12">
        <f>IF(H23="Manual",IF(K23="","",K23),IF(N23="","",IFERROR(INDEX('Book rows'!$E$2:$E$392,MATCH(N23,'Book rows'!$A$2:$A$392,0)),"row not found")))</f>
        <v/>
      </c>
      <c r="Q23" s="13">
        <f>IF(H23="Manual",IF(L23="","",L23),IF(N23="","",IFERROR(INDEX('Book rows'!$F$2:$F$392,MATCH(N23,'Book rows'!$A$2:$A$392,0)),"row not found")))</f>
        <v/>
      </c>
    </row>
    <row r="24">
      <c r="A24" s="8" t="inlineStr">
        <is>
          <t>Studiousness</t>
        </is>
      </c>
      <c r="B24" s="8" t="inlineStr">
        <is>
          <t>Učenost</t>
        </is>
      </c>
      <c r="C24" s="8" t="inlineStr">
        <is>
          <t>Features / Elven features</t>
        </is>
      </c>
      <c r="D24" s="8" t="n">
        <v>295</v>
      </c>
      <c r="E24" s="8" t="inlineStr">
        <is>
          <t>Umíněnost</t>
        </is>
      </c>
      <c r="F24" s="9" t="inlineStr">
        <is>
          <t>Weak name match (0.75); likely wrong</t>
        </is>
      </c>
      <c r="G24" s="9" t="inlineStr">
        <is>
          <t>r56 Houževnatost (0.63); r608 Pulčická zákeřnost (0.56); r430 Náměsíčnost (0.56); r519 Elfská zručnost (0.55)</t>
        </is>
      </c>
      <c r="H24" s="10" t="n"/>
      <c r="I24" s="10" t="n"/>
      <c r="J24" s="10" t="n"/>
      <c r="K24" s="10" t="n"/>
      <c r="L24" s="11" t="n"/>
      <c r="M24" s="11" t="n"/>
      <c r="N24" s="12">
        <f>IF(H24="Accept",D24,IF(H24="Use row",I24,""))</f>
        <v/>
      </c>
      <c r="O24" s="12">
        <f>IF(H24="Manual",IF(J24="","",J24),IF(N24="","",IFERROR(INDEX('Book rows'!$D$2:$D$392,MATCH(N24,'Book rows'!$A$2:$A$392,0)),"row not found")))</f>
        <v/>
      </c>
      <c r="P24" s="12">
        <f>IF(H24="Manual",IF(K24="","",K24),IF(N24="","",IFERROR(INDEX('Book rows'!$E$2:$E$392,MATCH(N24,'Book rows'!$A$2:$A$392,0)),"row not found")))</f>
        <v/>
      </c>
      <c r="Q24" s="13">
        <f>IF(H24="Manual",IF(L24="","",L24),IF(N24="","",IFERROR(INDEX('Book rows'!$F$2:$F$392,MATCH(N24,'Book rows'!$A$2:$A$392,0)),"row not found")))</f>
        <v/>
      </c>
    </row>
    <row r="25">
      <c r="A25" s="8" t="inlineStr">
        <is>
          <t>Elven perfection: Acrobacy</t>
        </is>
      </c>
      <c r="B25" s="8" t="inlineStr">
        <is>
          <t>Elfí dokonalost: Akrobacie</t>
        </is>
      </c>
      <c r="C25" s="8" t="inlineStr">
        <is>
          <t>Features / Elven features / Elven perfection</t>
        </is>
      </c>
      <c r="D25" s="8" t="n">
        <v>533</v>
      </c>
      <c r="E25" s="8" t="inlineStr">
        <is>
          <t>Elfská dokonalost</t>
        </is>
      </c>
      <c r="F25" s="9" t="inlineStr">
        <is>
          <t>Family rule: Elven perfection (book prices every skill alike)</t>
        </is>
      </c>
      <c r="G25" s="9" t="inlineStr">
        <is>
          <t>r710 Ješitná dokonalost (0.60); r322 Doteková stabilizace (0.53); r785 Znalost dynastie (0.49); r80 Nezdolnost kamene (0.48)</t>
        </is>
      </c>
      <c r="H25" s="10" t="inlineStr">
        <is>
          <t>Accept</t>
        </is>
      </c>
      <c r="I25" s="10" t="n"/>
      <c r="J25" s="10" t="n"/>
      <c r="K25" s="10" t="n"/>
      <c r="L25" s="11" t="n"/>
      <c r="M25" s="11" t="n"/>
      <c r="N25" s="12">
        <f>IF(H25="Accept",D25,IF(H25="Use row",I25,""))</f>
        <v/>
      </c>
      <c r="O25" s="12">
        <f>IF(H25="Manual",IF(J25="","",J25),IF(N25="","",IFERROR(INDEX('Book rows'!$D$2:$D$392,MATCH(N25,'Book rows'!$A$2:$A$392,0)),"row not found")))</f>
        <v/>
      </c>
      <c r="P25" s="12">
        <f>IF(H25="Manual",IF(K25="","",K25),IF(N25="","",IFERROR(INDEX('Book rows'!$E$2:$E$392,MATCH(N25,'Book rows'!$A$2:$A$392,0)),"row not found")))</f>
        <v/>
      </c>
      <c r="Q25" s="13">
        <f>IF(H25="Manual",IF(L25="","",L25),IF(N25="","",IFERROR(INDEX('Book rows'!$F$2:$F$392,MATCH(N25,'Book rows'!$A$2:$A$392,0)),"row not found")))</f>
        <v/>
      </c>
    </row>
    <row r="26">
      <c r="A26" s="8" t="inlineStr">
        <is>
          <t>Elven perfection: Alchemy</t>
        </is>
      </c>
      <c r="B26" s="8" t="inlineStr">
        <is>
          <t>Elfí dokonalost: Alchymie</t>
        </is>
      </c>
      <c r="C26" s="8" t="inlineStr">
        <is>
          <t>Features / Elven features / Elven perfection</t>
        </is>
      </c>
      <c r="D26" s="8" t="n">
        <v>533</v>
      </c>
      <c r="E26" s="8" t="inlineStr">
        <is>
          <t>Elfská dokonalost</t>
        </is>
      </c>
      <c r="F26" s="9" t="inlineStr">
        <is>
          <t>Family rule: Elven perfection (book prices every skill alike)</t>
        </is>
      </c>
      <c r="G26" s="9" t="inlineStr">
        <is>
          <t>r710 Ješitná dokonalost (0.62); r80 Nezdolnost kamene (0.54); r263 Rozbor alchemie (0.51); r785 Znalost dynastie (0.50)</t>
        </is>
      </c>
      <c r="H26" s="10" t="inlineStr">
        <is>
          <t>Accept</t>
        </is>
      </c>
      <c r="I26" s="10" t="n"/>
      <c r="J26" s="10" t="n"/>
      <c r="K26" s="10" t="n"/>
      <c r="L26" s="11" t="n"/>
      <c r="M26" s="11" t="n"/>
      <c r="N26" s="12">
        <f>IF(H26="Accept",D26,IF(H26="Use row",I26,""))</f>
        <v/>
      </c>
      <c r="O26" s="12">
        <f>IF(H26="Manual",IF(J26="","",J26),IF(N26="","",IFERROR(INDEX('Book rows'!$D$2:$D$392,MATCH(N26,'Book rows'!$A$2:$A$392,0)),"row not found")))</f>
        <v/>
      </c>
      <c r="P26" s="12">
        <f>IF(H26="Manual",IF(K26="","",K26),IF(N26="","",IFERROR(INDEX('Book rows'!$E$2:$E$392,MATCH(N26,'Book rows'!$A$2:$A$392,0)),"row not found")))</f>
        <v/>
      </c>
      <c r="Q26" s="13">
        <f>IF(H26="Manual",IF(L26="","",L26),IF(N26="","",IFERROR(INDEX('Book rows'!$F$2:$F$392,MATCH(N26,'Book rows'!$A$2:$A$392,0)),"row not found")))</f>
        <v/>
      </c>
    </row>
    <row r="27">
      <c r="A27" s="8" t="inlineStr">
        <is>
          <t>Elven perfection: Arcana</t>
        </is>
      </c>
      <c r="B27" s="8" t="inlineStr">
        <is>
          <t>Elfí dokonalost: Arcana</t>
        </is>
      </c>
      <c r="C27" s="8" t="inlineStr">
        <is>
          <t>Features / Elven features / Elven perfection</t>
        </is>
      </c>
      <c r="D27" s="8" t="n">
        <v>533</v>
      </c>
      <c r="E27" s="8" t="inlineStr">
        <is>
          <t>Elfská dokonalost</t>
        </is>
      </c>
      <c r="F27" s="9" t="inlineStr">
        <is>
          <t>Family rule: Elven perfection (book prices every skill alike)</t>
        </is>
      </c>
      <c r="G27" s="9" t="inlineStr">
        <is>
          <t>r710 Ješitná dokonalost (0.65); r54 Hluboká rána (0.53); r80 Nezdolnost kamene (0.51); r557 Klidná hladina (0.50)</t>
        </is>
      </c>
      <c r="H27" s="10" t="inlineStr">
        <is>
          <t>Accept</t>
        </is>
      </c>
      <c r="I27" s="10" t="n"/>
      <c r="J27" s="10" t="n"/>
      <c r="K27" s="10" t="n"/>
      <c r="L27" s="11" t="n"/>
      <c r="M27" s="11" t="n"/>
      <c r="N27" s="12">
        <f>IF(H27="Accept",D27,IF(H27="Use row",I27,""))</f>
        <v/>
      </c>
      <c r="O27" s="12">
        <f>IF(H27="Manual",IF(J27="","",J27),IF(N27="","",IFERROR(INDEX('Book rows'!$D$2:$D$392,MATCH(N27,'Book rows'!$A$2:$A$392,0)),"row not found")))</f>
        <v/>
      </c>
      <c r="P27" s="12">
        <f>IF(H27="Manual",IF(K27="","",K27),IF(N27="","",IFERROR(INDEX('Book rows'!$E$2:$E$392,MATCH(N27,'Book rows'!$A$2:$A$392,0)),"row not found")))</f>
        <v/>
      </c>
      <c r="Q27" s="13">
        <f>IF(H27="Manual",IF(L27="","",L27),IF(N27="","",IFERROR(INDEX('Book rows'!$F$2:$F$392,MATCH(N27,'Book rows'!$A$2:$A$392,0)),"row not found")))</f>
        <v/>
      </c>
    </row>
    <row r="28">
      <c r="A28" s="8" t="inlineStr">
        <is>
          <t>Elven perfection: Athletics</t>
        </is>
      </c>
      <c r="B28" s="8" t="inlineStr">
        <is>
          <t>Elfí dokonalost: Atletika</t>
        </is>
      </c>
      <c r="C28" s="8" t="inlineStr">
        <is>
          <t>Features / Elven features / Elven perfection</t>
        </is>
      </c>
      <c r="D28" s="8" t="n">
        <v>533</v>
      </c>
      <c r="E28" s="8" t="inlineStr">
        <is>
          <t>Elfská dokonalost</t>
        </is>
      </c>
      <c r="F28" s="9" t="inlineStr">
        <is>
          <t>Family rule: Elven perfection (book prices every skill alike)</t>
        </is>
      </c>
      <c r="G28" s="9" t="inlineStr">
        <is>
          <t>r710 Ješitná dokonalost (0.62); r785 Znalost dynastie (0.50); r80 Nezdolnost kamene (0.49); r623 Odolnost na jedy I (0.48)</t>
        </is>
      </c>
      <c r="H28" s="10" t="inlineStr">
        <is>
          <t>Accept</t>
        </is>
      </c>
      <c r="I28" s="10" t="n"/>
      <c r="J28" s="10" t="n"/>
      <c r="K28" s="10" t="n"/>
      <c r="L28" s="11" t="n"/>
      <c r="M28" s="11" t="n"/>
      <c r="N28" s="12">
        <f>IF(H28="Accept",D28,IF(H28="Use row",I28,""))</f>
        <v/>
      </c>
      <c r="O28" s="12">
        <f>IF(H28="Manual",IF(J28="","",J28),IF(N28="","",IFERROR(INDEX('Book rows'!$D$2:$D$392,MATCH(N28,'Book rows'!$A$2:$A$392,0)),"row not found")))</f>
        <v/>
      </c>
      <c r="P28" s="12">
        <f>IF(H28="Manual",IF(K28="","",K28),IF(N28="","",IFERROR(INDEX('Book rows'!$E$2:$E$392,MATCH(N28,'Book rows'!$A$2:$A$392,0)),"row not found")))</f>
        <v/>
      </c>
      <c r="Q28" s="13">
        <f>IF(H28="Manual",IF(L28="","",L28),IF(N28="","",IFERROR(INDEX('Book rows'!$F$2:$F$392,MATCH(N28,'Book rows'!$A$2:$A$392,0)),"row not found")))</f>
        <v/>
      </c>
    </row>
    <row r="29">
      <c r="A29" s="8" t="inlineStr">
        <is>
          <t>Elven perfection: First Aid</t>
        </is>
      </c>
      <c r="B29" s="8" t="inlineStr">
        <is>
          <t>Elfí dokonalost: Ranhojičství</t>
        </is>
      </c>
      <c r="C29" s="8" t="inlineStr">
        <is>
          <t>Features / Elven features / Elven perfection</t>
        </is>
      </c>
      <c r="D29" s="8" t="n">
        <v>533</v>
      </c>
      <c r="E29" s="8" t="inlineStr">
        <is>
          <t>Elfská dokonalost</t>
        </is>
      </c>
      <c r="F29" s="9" t="inlineStr">
        <is>
          <t>Family rule: Elven perfection (book prices every skill alike)</t>
        </is>
      </c>
      <c r="G29" s="9" t="inlineStr">
        <is>
          <t>r710 Ješitná dokonalost (0.57); r785 Znalost dynastie (0.50); r197 *Dovednost A*: Mistr (0.49); r639 Odolnost na jedy II (0.47)</t>
        </is>
      </c>
      <c r="H29" s="10" t="inlineStr">
        <is>
          <t>Accept</t>
        </is>
      </c>
      <c r="I29" s="10" t="n"/>
      <c r="J29" s="10" t="n"/>
      <c r="K29" s="10" t="n"/>
      <c r="L29" s="11" t="n"/>
      <c r="M29" s="11" t="n"/>
      <c r="N29" s="12">
        <f>IF(H29="Accept",D29,IF(H29="Use row",I29,""))</f>
        <v/>
      </c>
      <c r="O29" s="12">
        <f>IF(H29="Manual",IF(J29="","",J29),IF(N29="","",IFERROR(INDEX('Book rows'!$D$2:$D$392,MATCH(N29,'Book rows'!$A$2:$A$392,0)),"row not found")))</f>
        <v/>
      </c>
      <c r="P29" s="12">
        <f>IF(H29="Manual",IF(K29="","",K29),IF(N29="","",IFERROR(INDEX('Book rows'!$E$2:$E$392,MATCH(N29,'Book rows'!$A$2:$A$392,0)),"row not found")))</f>
        <v/>
      </c>
      <c r="Q29" s="13">
        <f>IF(H29="Manual",IF(L29="","",L29),IF(N29="","",IFERROR(INDEX('Book rows'!$F$2:$F$392,MATCH(N29,'Book rows'!$A$2:$A$392,0)),"row not found")))</f>
        <v/>
      </c>
    </row>
    <row r="30">
      <c r="A30" s="8" t="inlineStr">
        <is>
          <t>Elven perfection: Leadership</t>
        </is>
      </c>
      <c r="B30" s="8" t="inlineStr">
        <is>
          <t>Elfí dokonalost: Velení</t>
        </is>
      </c>
      <c r="C30" s="8" t="inlineStr">
        <is>
          <t>Features / Elven features / Elven perfection</t>
        </is>
      </c>
      <c r="D30" s="8" t="n">
        <v>533</v>
      </c>
      <c r="E30" s="8" t="inlineStr">
        <is>
          <t>Elfská dokonalost</t>
        </is>
      </c>
      <c r="F30" s="9" t="inlineStr">
        <is>
          <t>Family rule: Elven perfection (book prices every skill alike)</t>
        </is>
      </c>
      <c r="G30" s="9" t="inlineStr">
        <is>
          <t>r710 Ješitná dokonalost (0.65); r80 Nezdolnost kamene (0.51); r324 Hluboké soustředění (0.49); r797 Hluboká znalost (0.49)</t>
        </is>
      </c>
      <c r="H30" s="10" t="inlineStr">
        <is>
          <t>Accept</t>
        </is>
      </c>
      <c r="I30" s="10" t="n"/>
      <c r="J30" s="10" t="n"/>
      <c r="K30" s="10" t="n"/>
      <c r="L30" s="11" t="n"/>
      <c r="M30" s="11" t="n"/>
      <c r="N30" s="12">
        <f>IF(H30="Accept",D30,IF(H30="Use row",I30,""))</f>
        <v/>
      </c>
      <c r="O30" s="12">
        <f>IF(H30="Manual",IF(J30="","",J30),IF(N30="","",IFERROR(INDEX('Book rows'!$D$2:$D$392,MATCH(N30,'Book rows'!$A$2:$A$392,0)),"row not found")))</f>
        <v/>
      </c>
      <c r="P30" s="12">
        <f>IF(H30="Manual",IF(K30="","",K30),IF(N30="","",IFERROR(INDEX('Book rows'!$E$2:$E$392,MATCH(N30,'Book rows'!$A$2:$A$392,0)),"row not found")))</f>
        <v/>
      </c>
      <c r="Q30" s="13">
        <f>IF(H30="Manual",IF(L30="","",L30),IF(N30="","",IFERROR(INDEX('Book rows'!$F$2:$F$392,MATCH(N30,'Book rows'!$A$2:$A$392,0)),"row not found")))</f>
        <v/>
      </c>
    </row>
    <row r="31">
      <c r="A31" s="8" t="inlineStr">
        <is>
          <t>Elven perfection: Pickpocketing</t>
        </is>
      </c>
      <c r="B31" s="8" t="inlineStr">
        <is>
          <t>Elfí dokonalost: Kapsářství</t>
        </is>
      </c>
      <c r="C31" s="8" t="inlineStr">
        <is>
          <t>Features / Elven features / Elven perfection</t>
        </is>
      </c>
      <c r="D31" s="8" t="n">
        <v>533</v>
      </c>
      <c r="E31" s="8" t="inlineStr">
        <is>
          <t>Elfská dokonalost</t>
        </is>
      </c>
      <c r="F31" s="9" t="inlineStr">
        <is>
          <t>Family rule: Elven perfection (book prices every skill alike)</t>
        </is>
      </c>
      <c r="G31" s="9" t="inlineStr">
        <is>
          <t>r710 Ješitná dokonalost (0.59); r785 Znalost dynastie (0.52); r195 *Dovednost A*: Expert (0.50); r80 Nezdolnost kamene (0.47)</t>
        </is>
      </c>
      <c r="H31" s="10" t="inlineStr">
        <is>
          <t>Accept</t>
        </is>
      </c>
      <c r="I31" s="10" t="n"/>
      <c r="J31" s="10" t="n"/>
      <c r="K31" s="10" t="n"/>
      <c r="L31" s="11" t="n"/>
      <c r="M31" s="11" t="n"/>
      <c r="N31" s="12">
        <f>IF(H31="Accept",D31,IF(H31="Use row",I31,""))</f>
        <v/>
      </c>
      <c r="O31" s="12">
        <f>IF(H31="Manual",IF(J31="","",J31),IF(N31="","",IFERROR(INDEX('Book rows'!$D$2:$D$392,MATCH(N31,'Book rows'!$A$2:$A$392,0)),"row not found")))</f>
        <v/>
      </c>
      <c r="P31" s="12">
        <f>IF(H31="Manual",IF(K31="","",K31),IF(N31="","",IFERROR(INDEX('Book rows'!$E$2:$E$392,MATCH(N31,'Book rows'!$A$2:$A$392,0)),"row not found")))</f>
        <v/>
      </c>
      <c r="Q31" s="13">
        <f>IF(H31="Manual",IF(L31="","",L31),IF(N31="","",IFERROR(INDEX('Book rows'!$F$2:$F$392,MATCH(N31,'Book rows'!$A$2:$A$392,0)),"row not found")))</f>
        <v/>
      </c>
    </row>
    <row r="32">
      <c r="A32" s="8" t="inlineStr">
        <is>
          <t>Elven perfection: Stealth</t>
        </is>
      </c>
      <c r="B32" s="8" t="inlineStr">
        <is>
          <t>Elfí dokonalost: Plížení</t>
        </is>
      </c>
      <c r="C32" s="8" t="inlineStr">
        <is>
          <t>Features / Elven features / Elven perfection</t>
        </is>
      </c>
      <c r="D32" s="8" t="n">
        <v>533</v>
      </c>
      <c r="E32" s="8" t="inlineStr">
        <is>
          <t>Elfská dokonalost</t>
        </is>
      </c>
      <c r="F32" s="9" t="inlineStr">
        <is>
          <t>Family rule: Elven perfection (book prices every skill alike)</t>
        </is>
      </c>
      <c r="G32" s="9" t="inlineStr">
        <is>
          <t>r710 Ješitná dokonalost (0.63); r322 Doteková stabilizace (0.51); r80 Nezdolnost kamene (0.50); r797 Hluboká znalost (0.47)</t>
        </is>
      </c>
      <c r="H32" s="10" t="inlineStr">
        <is>
          <t>Accept</t>
        </is>
      </c>
      <c r="I32" s="10" t="n"/>
      <c r="J32" s="10" t="n"/>
      <c r="K32" s="10" t="n"/>
      <c r="L32" s="11" t="n"/>
      <c r="M32" s="11" t="n"/>
      <c r="N32" s="12">
        <f>IF(H32="Accept",D32,IF(H32="Use row",I32,""))</f>
        <v/>
      </c>
      <c r="O32" s="12">
        <f>IF(H32="Manual",IF(J32="","",J32),IF(N32="","",IFERROR(INDEX('Book rows'!$D$2:$D$392,MATCH(N32,'Book rows'!$A$2:$A$392,0)),"row not found")))</f>
        <v/>
      </c>
      <c r="P32" s="12">
        <f>IF(H32="Manual",IF(K32="","",K32),IF(N32="","",IFERROR(INDEX('Book rows'!$E$2:$E$392,MATCH(N32,'Book rows'!$A$2:$A$392,0)),"row not found")))</f>
        <v/>
      </c>
      <c r="Q32" s="13">
        <f>IF(H32="Manual",IF(L32="","",L32),IF(N32="","",IFERROR(INDEX('Book rows'!$F$2:$F$392,MATCH(N32,'Book rows'!$A$2:$A$392,0)),"row not found")))</f>
        <v/>
      </c>
    </row>
    <row r="33">
      <c r="A33" s="8" t="inlineStr">
        <is>
          <t>Elven talent: Animal Handling</t>
        </is>
      </c>
      <c r="B33" s="8" t="inlineStr">
        <is>
          <t>Elfí talent: Zacházení se zvířaty</t>
        </is>
      </c>
      <c r="C33" s="8" t="inlineStr">
        <is>
          <t>Features / Elven features / Elven talent: *Skill*</t>
        </is>
      </c>
      <c r="D33" s="8" t="n">
        <v>531</v>
      </c>
      <c r="E33" s="8" t="inlineStr">
        <is>
          <t>Elfský talent</t>
        </is>
      </c>
      <c r="F33" s="9" t="inlineStr">
        <is>
          <t>Family rule: Elven talent (book prices every skill alike)</t>
        </is>
      </c>
      <c r="G33" s="9" t="inlineStr">
        <is>
          <t>r438 Spojení se zvířaty (0.56); r275 Společník zvířat (0.50); r146 Specializace na zbraň I (0.44); r148 Specializace na zbraň II (0.43)</t>
        </is>
      </c>
      <c r="H33" s="10" t="inlineStr">
        <is>
          <t>Accept</t>
        </is>
      </c>
      <c r="I33" s="10" t="n"/>
      <c r="J33" s="10" t="n"/>
      <c r="K33" s="10" t="n"/>
      <c r="L33" s="11" t="n"/>
      <c r="M33" s="11" t="n"/>
      <c r="N33" s="12">
        <f>IF(H33="Accept",D33,IF(H33="Use row",I33,""))</f>
        <v/>
      </c>
      <c r="O33" s="12">
        <f>IF(H33="Manual",IF(J33="","",J33),IF(N33="","",IFERROR(INDEX('Book rows'!$D$2:$D$392,MATCH(N33,'Book rows'!$A$2:$A$392,0)),"row not found")))</f>
        <v/>
      </c>
      <c r="P33" s="12">
        <f>IF(H33="Manual",IF(K33="","",K33),IF(N33="","",IFERROR(INDEX('Book rows'!$E$2:$E$392,MATCH(N33,'Book rows'!$A$2:$A$392,0)),"row not found")))</f>
        <v/>
      </c>
      <c r="Q33" s="13">
        <f>IF(H33="Manual",IF(L33="","",L33),IF(N33="","",IFERROR(INDEX('Book rows'!$F$2:$F$392,MATCH(N33,'Book rows'!$A$2:$A$392,0)),"row not found")))</f>
        <v/>
      </c>
    </row>
    <row r="34">
      <c r="A34" s="8" t="inlineStr">
        <is>
          <t>Elven talent: Arcana</t>
        </is>
      </c>
      <c r="B34" s="8" t="inlineStr">
        <is>
          <t>Elfí talent: Arcana</t>
        </is>
      </c>
      <c r="C34" s="8" t="inlineStr">
        <is>
          <t>Features / Elven features / Elven talent: *Skill*</t>
        </is>
      </c>
      <c r="D34" s="8" t="n">
        <v>531</v>
      </c>
      <c r="E34" s="8" t="inlineStr">
        <is>
          <t>Elfský talent</t>
        </is>
      </c>
      <c r="F34" s="9" t="inlineStr">
        <is>
          <t>Family rule: Elven talent (book prices every skill alike)</t>
        </is>
      </c>
      <c r="G34" s="9" t="inlineStr">
        <is>
          <t>r112 Brutální rána (0.58); r506 Trpasličí talent (0.53); r479 Talentovaný I (0.52); r481 Talentovaný II (0.50)</t>
        </is>
      </c>
      <c r="H34" s="10" t="inlineStr">
        <is>
          <t>Accept</t>
        </is>
      </c>
      <c r="I34" s="10" t="n"/>
      <c r="J34" s="10" t="n"/>
      <c r="K34" s="10" t="n"/>
      <c r="L34" s="11" t="n"/>
      <c r="M34" s="11" t="n"/>
      <c r="N34" s="12">
        <f>IF(H34="Accept",D34,IF(H34="Use row",I34,""))</f>
        <v/>
      </c>
      <c r="O34" s="12">
        <f>IF(H34="Manual",IF(J34="","",J34),IF(N34="","",IFERROR(INDEX('Book rows'!$D$2:$D$392,MATCH(N34,'Book rows'!$A$2:$A$392,0)),"row not found")))</f>
        <v/>
      </c>
      <c r="P34" s="12">
        <f>IF(H34="Manual",IF(K34="","",K34),IF(N34="","",IFERROR(INDEX('Book rows'!$E$2:$E$392,MATCH(N34,'Book rows'!$A$2:$A$392,0)),"row not found")))</f>
        <v/>
      </c>
      <c r="Q34" s="13">
        <f>IF(H34="Manual",IF(L34="","",L34),IF(N34="","",IFERROR(INDEX('Book rows'!$F$2:$F$392,MATCH(N34,'Book rows'!$A$2:$A$392,0)),"row not found")))</f>
        <v/>
      </c>
    </row>
    <row r="35">
      <c r="A35" s="8" t="inlineStr">
        <is>
          <t>Elven talent: Athletics</t>
        </is>
      </c>
      <c r="B35" s="8" t="inlineStr">
        <is>
          <t>Elfí talent: Atletika</t>
        </is>
      </c>
      <c r="C35" s="8" t="inlineStr">
        <is>
          <t>Features / Elven features / Elven talent: *Skill*</t>
        </is>
      </c>
      <c r="D35" s="8" t="n">
        <v>531</v>
      </c>
      <c r="E35" s="8" t="inlineStr">
        <is>
          <t>Elfský talent</t>
        </is>
      </c>
      <c r="F35" s="9" t="inlineStr">
        <is>
          <t>Family rule: Elven talent (book prices every skill alike)</t>
        </is>
      </c>
      <c r="G35" s="9" t="inlineStr">
        <is>
          <t>r506 Trpasličí talent (0.50); r479 Talentovaný I (0.48); r481 Talentovaný II (0.47); r527 Elfská učenlivost I (0.46)</t>
        </is>
      </c>
      <c r="H35" s="10" t="inlineStr">
        <is>
          <t>Accept</t>
        </is>
      </c>
      <c r="I35" s="10" t="n"/>
      <c r="J35" s="10" t="n"/>
      <c r="K35" s="10" t="n"/>
      <c r="L35" s="11" t="n"/>
      <c r="M35" s="11" t="n"/>
      <c r="N35" s="12">
        <f>IF(H35="Accept",D35,IF(H35="Use row",I35,""))</f>
        <v/>
      </c>
      <c r="O35" s="12">
        <f>IF(H35="Manual",IF(J35="","",J35),IF(N35="","",IFERROR(INDEX('Book rows'!$D$2:$D$392,MATCH(N35,'Book rows'!$A$2:$A$392,0)),"row not found")))</f>
        <v/>
      </c>
      <c r="P35" s="12">
        <f>IF(H35="Manual",IF(K35="","",K35),IF(N35="","",IFERROR(INDEX('Book rows'!$E$2:$E$392,MATCH(N35,'Book rows'!$A$2:$A$392,0)),"row not found")))</f>
        <v/>
      </c>
      <c r="Q35" s="13">
        <f>IF(H35="Manual",IF(L35="","",L35),IF(N35="","",IFERROR(INDEX('Book rows'!$F$2:$F$392,MATCH(N35,'Book rows'!$A$2:$A$392,0)),"row not found")))</f>
        <v/>
      </c>
    </row>
    <row r="36">
      <c r="A36" s="8" t="inlineStr">
        <is>
          <t>Elven talent: First Aid</t>
        </is>
      </c>
      <c r="B36" s="8" t="inlineStr">
        <is>
          <t>Elfí talent: Ranhojičství</t>
        </is>
      </c>
      <c r="C36" s="8" t="inlineStr">
        <is>
          <t>Features / Elven features / Elven talent: *Skill*</t>
        </is>
      </c>
      <c r="D36" s="8" t="n">
        <v>531</v>
      </c>
      <c r="E36" s="8" t="inlineStr">
        <is>
          <t>Elfský talent</t>
        </is>
      </c>
      <c r="F36" s="9" t="inlineStr">
        <is>
          <t>Family rule: Elven talent (book prices every skill alike)</t>
        </is>
      </c>
      <c r="G36" s="9" t="inlineStr">
        <is>
          <t>r481 Talentovaný II (0.53); r483 Talentovaný III (0.51); r148 Specializace na zbraň II (0.50); r479 Talentovaný I (0.49)</t>
        </is>
      </c>
      <c r="H36" s="10" t="inlineStr">
        <is>
          <t>Accept</t>
        </is>
      </c>
      <c r="I36" s="10" t="n"/>
      <c r="J36" s="10" t="n"/>
      <c r="K36" s="10" t="n"/>
      <c r="L36" s="11" t="n"/>
      <c r="M36" s="11" t="n"/>
      <c r="N36" s="12">
        <f>IF(H36="Accept",D36,IF(H36="Use row",I36,""))</f>
        <v/>
      </c>
      <c r="O36" s="12">
        <f>IF(H36="Manual",IF(J36="","",J36),IF(N36="","",IFERROR(INDEX('Book rows'!$D$2:$D$392,MATCH(N36,'Book rows'!$A$2:$A$392,0)),"row not found")))</f>
        <v/>
      </c>
      <c r="P36" s="12">
        <f>IF(H36="Manual",IF(K36="","",K36),IF(N36="","",IFERROR(INDEX('Book rows'!$E$2:$E$392,MATCH(N36,'Book rows'!$A$2:$A$392,0)),"row not found")))</f>
        <v/>
      </c>
      <c r="Q36" s="13">
        <f>IF(H36="Manual",IF(L36="","",L36),IF(N36="","",IFERROR(INDEX('Book rows'!$F$2:$F$392,MATCH(N36,'Book rows'!$A$2:$A$392,0)),"row not found")))</f>
        <v/>
      </c>
    </row>
    <row r="37">
      <c r="A37" s="8" t="inlineStr">
        <is>
          <t>Elven talent: Pickpocketing</t>
        </is>
      </c>
      <c r="B37" s="8" t="inlineStr">
        <is>
          <t>Elfí talent: Kapsářství</t>
        </is>
      </c>
      <c r="C37" s="8" t="inlineStr">
        <is>
          <t>Features / Elven features / Elven talent: *Skill*</t>
        </is>
      </c>
      <c r="D37" s="8" t="n">
        <v>531</v>
      </c>
      <c r="E37" s="8" t="inlineStr">
        <is>
          <t>Elfský talent</t>
        </is>
      </c>
      <c r="F37" s="9" t="inlineStr">
        <is>
          <t>Family rule: Elven talent (book prices every skill alike)</t>
        </is>
      </c>
      <c r="G37" s="9" t="inlineStr">
        <is>
          <t>r506 Trpasličí talent (0.47); r817 Válečný štváč (0.46); r479 Talentovaný I (0.46); r827 Vznešená kasta (0.44)</t>
        </is>
      </c>
      <c r="H37" s="10" t="inlineStr">
        <is>
          <t>Accept</t>
        </is>
      </c>
      <c r="I37" s="10" t="n"/>
      <c r="J37" s="10" t="n"/>
      <c r="K37" s="10" t="n"/>
      <c r="L37" s="11" t="n"/>
      <c r="M37" s="11" t="n"/>
      <c r="N37" s="12">
        <f>IF(H37="Accept",D37,IF(H37="Use row",I37,""))</f>
        <v/>
      </c>
      <c r="O37" s="12">
        <f>IF(H37="Manual",IF(J37="","",J37),IF(N37="","",IFERROR(INDEX('Book rows'!$D$2:$D$392,MATCH(N37,'Book rows'!$A$2:$A$392,0)),"row not found")))</f>
        <v/>
      </c>
      <c r="P37" s="12">
        <f>IF(H37="Manual",IF(K37="","",K37),IF(N37="","",IFERROR(INDEX('Book rows'!$E$2:$E$392,MATCH(N37,'Book rows'!$A$2:$A$392,0)),"row not found")))</f>
        <v/>
      </c>
      <c r="Q37" s="13">
        <f>IF(H37="Manual",IF(L37="","",L37),IF(N37="","",IFERROR(INDEX('Book rows'!$F$2:$F$392,MATCH(N37,'Book rows'!$A$2:$A$392,0)),"row not found")))</f>
        <v/>
      </c>
    </row>
    <row r="38">
      <c r="A38" s="8" t="inlineStr">
        <is>
          <t>Elven talent: Stealth</t>
        </is>
      </c>
      <c r="B38" s="8" t="inlineStr">
        <is>
          <t>Elfí talent: Plížení</t>
        </is>
      </c>
      <c r="C38" s="8" t="inlineStr">
        <is>
          <t>Features / Elven features / Elven talent: *Skill*</t>
        </is>
      </c>
      <c r="D38" s="8" t="n">
        <v>531</v>
      </c>
      <c r="E38" s="8" t="inlineStr">
        <is>
          <t>Elfský talent</t>
        </is>
      </c>
      <c r="F38" s="9" t="inlineStr">
        <is>
          <t>Family rule: Elven talent (book prices every skill alike)</t>
        </is>
      </c>
      <c r="G38" s="9" t="inlineStr">
        <is>
          <t>r481 Talentovaný II (0.55); r483 Talentovaný III (0.53); r506 Trpasličí talent (0.51); r529 Elfská učenlivost II (0.51)</t>
        </is>
      </c>
      <c r="H38" s="10" t="inlineStr">
        <is>
          <t>Accept</t>
        </is>
      </c>
      <c r="I38" s="10" t="n"/>
      <c r="J38" s="10" t="n"/>
      <c r="K38" s="10" t="n"/>
      <c r="L38" s="11" t="n"/>
      <c r="M38" s="11" t="n"/>
      <c r="N38" s="12">
        <f>IF(H38="Accept",D38,IF(H38="Use row",I38,""))</f>
        <v/>
      </c>
      <c r="O38" s="12">
        <f>IF(H38="Manual",IF(J38="","",J38),IF(N38="","",IFERROR(INDEX('Book rows'!$D$2:$D$392,MATCH(N38,'Book rows'!$A$2:$A$392,0)),"row not found")))</f>
        <v/>
      </c>
      <c r="P38" s="12">
        <f>IF(H38="Manual",IF(K38="","",K38),IF(N38="","",IFERROR(INDEX('Book rows'!$E$2:$E$392,MATCH(N38,'Book rows'!$A$2:$A$392,0)),"row not found")))</f>
        <v/>
      </c>
      <c r="Q38" s="13">
        <f>IF(H38="Manual",IF(L38="","",L38),IF(N38="","",IFERROR(INDEX('Book rows'!$F$2:$F$392,MATCH(N38,'Book rows'!$A$2:$A$392,0)),"row not found")))</f>
        <v/>
      </c>
    </row>
    <row r="39">
      <c r="A39" s="8" t="inlineStr">
        <is>
          <t>Specialization: Acrobacy</t>
        </is>
      </c>
      <c r="B39" s="8" t="inlineStr">
        <is>
          <t>Specializace: Akrobacie</t>
        </is>
      </c>
      <c r="C39" s="8" t="inlineStr">
        <is>
          <t>Features / Elven features / Specialization: *Skill*</t>
        </is>
      </c>
      <c r="D39" s="8" t="n">
        <v>525</v>
      </c>
      <c r="E39" s="8" t="inlineStr">
        <is>
          <t>Specializace: *Dovednost*</t>
        </is>
      </c>
      <c r="F39" s="9" t="inlineStr">
        <is>
          <t>Family rule: Elven specialization (book prices every skill alike)</t>
        </is>
      </c>
      <c r="G39" s="9" t="inlineStr">
        <is>
          <t>r146 Specializace na zbraň I (0.76); r148 Specializace na zbraň II (0.74); r469 Specializace: *Dovednost* (0.68); r752 Specializace: *Dovednost* (0.68); r487 Specialista (0.55)</t>
        </is>
      </c>
      <c r="H39" s="10" t="inlineStr">
        <is>
          <t>Accept</t>
        </is>
      </c>
      <c r="I39" s="10" t="n"/>
      <c r="J39" s="10" t="n"/>
      <c r="K39" s="10" t="n"/>
      <c r="L39" s="11" t="n"/>
      <c r="M39" s="11" t="n"/>
      <c r="N39" s="12">
        <f>IF(H39="Accept",D39,IF(H39="Use row",I39,""))</f>
        <v/>
      </c>
      <c r="O39" s="12">
        <f>IF(H39="Manual",IF(J39="","",J39),IF(N39="","",IFERROR(INDEX('Book rows'!$D$2:$D$392,MATCH(N39,'Book rows'!$A$2:$A$392,0)),"row not found")))</f>
        <v/>
      </c>
      <c r="P39" s="12">
        <f>IF(H39="Manual",IF(K39="","",K39),IF(N39="","",IFERROR(INDEX('Book rows'!$E$2:$E$392,MATCH(N39,'Book rows'!$A$2:$A$392,0)),"row not found")))</f>
        <v/>
      </c>
      <c r="Q39" s="13">
        <f>IF(H39="Manual",IF(L39="","",L39),IF(N39="","",IFERROR(INDEX('Book rows'!$F$2:$F$392,MATCH(N39,'Book rows'!$A$2:$A$392,0)),"row not found")))</f>
        <v/>
      </c>
    </row>
    <row r="40">
      <c r="A40" s="8" t="inlineStr">
        <is>
          <t>Specialization: Alchemy</t>
        </is>
      </c>
      <c r="B40" s="8" t="inlineStr">
        <is>
          <t>Specializace: Alchymie</t>
        </is>
      </c>
      <c r="C40" s="8" t="inlineStr">
        <is>
          <t>Features / Elven features / Specialization: *Skill*</t>
        </is>
      </c>
      <c r="D40" s="8" t="n">
        <v>525</v>
      </c>
      <c r="E40" s="8" t="inlineStr">
        <is>
          <t>Specializace: *Dovednost*</t>
        </is>
      </c>
      <c r="F40" s="9" t="inlineStr">
        <is>
          <t>Family rule: Elven specialization (book prices every skill alike)</t>
        </is>
      </c>
      <c r="G40" s="9" t="inlineStr">
        <is>
          <t>r146 Specializace na zbraň I (0.68); r148 Specializace na zbraň II (0.67); r469 Specializace: *Dovednost* (0.65); r752 Specializace: *Dovednost* (0.65); r487 Specialista (0.56)</t>
        </is>
      </c>
      <c r="H40" s="10" t="inlineStr">
        <is>
          <t>Accept</t>
        </is>
      </c>
      <c r="I40" s="10" t="n"/>
      <c r="J40" s="10" t="n"/>
      <c r="K40" s="10" t="n"/>
      <c r="L40" s="11" t="n"/>
      <c r="M40" s="11" t="n"/>
      <c r="N40" s="12">
        <f>IF(H40="Accept",D40,IF(H40="Use row",I40,""))</f>
        <v/>
      </c>
      <c r="O40" s="12">
        <f>IF(H40="Manual",IF(J40="","",J40),IF(N40="","",IFERROR(INDEX('Book rows'!$D$2:$D$392,MATCH(N40,'Book rows'!$A$2:$A$392,0)),"row not found")))</f>
        <v/>
      </c>
      <c r="P40" s="12">
        <f>IF(H40="Manual",IF(K40="","",K40),IF(N40="","",IFERROR(INDEX('Book rows'!$E$2:$E$392,MATCH(N40,'Book rows'!$A$2:$A$392,0)),"row not found")))</f>
        <v/>
      </c>
      <c r="Q40" s="13">
        <f>IF(H40="Manual",IF(L40="","",L40),IF(N40="","",IFERROR(INDEX('Book rows'!$F$2:$F$392,MATCH(N40,'Book rows'!$A$2:$A$392,0)),"row not found")))</f>
        <v/>
      </c>
    </row>
    <row r="41">
      <c r="A41" s="8" t="inlineStr">
        <is>
          <t>Specialization: Arcana</t>
        </is>
      </c>
      <c r="B41" s="8" t="inlineStr">
        <is>
          <t>Specializace: Arcana</t>
        </is>
      </c>
      <c r="C41" s="8" t="inlineStr">
        <is>
          <t>Features / Elven features / Specialization: *Skill*</t>
        </is>
      </c>
      <c r="D41" s="8" t="n">
        <v>525</v>
      </c>
      <c r="E41" s="8" t="inlineStr">
        <is>
          <t>Specializace: *Dovednost*</t>
        </is>
      </c>
      <c r="F41" s="9" t="inlineStr">
        <is>
          <t>Family rule: Elven specialization (book prices every skill alike)</t>
        </is>
      </c>
      <c r="G41" s="9" t="inlineStr">
        <is>
          <t>r146 Specializace na zbraň I (0.81); r148 Specializace na zbraň II (0.79); r469 Specializace: *Dovednost* (0.68); r752 Specializace: *Dovednost* (0.68); r487 Specialista (0.60)</t>
        </is>
      </c>
      <c r="H41" s="10" t="inlineStr">
        <is>
          <t>Accept</t>
        </is>
      </c>
      <c r="I41" s="10" t="n"/>
      <c r="J41" s="10" t="n"/>
      <c r="K41" s="10" t="n"/>
      <c r="L41" s="11" t="n"/>
      <c r="M41" s="11" t="n"/>
      <c r="N41" s="12">
        <f>IF(H41="Accept",D41,IF(H41="Use row",I41,""))</f>
        <v/>
      </c>
      <c r="O41" s="12">
        <f>IF(H41="Manual",IF(J41="","",J41),IF(N41="","",IFERROR(INDEX('Book rows'!$D$2:$D$392,MATCH(N41,'Book rows'!$A$2:$A$392,0)),"row not found")))</f>
        <v/>
      </c>
      <c r="P41" s="12">
        <f>IF(H41="Manual",IF(K41="","",K41),IF(N41="","",IFERROR(INDEX('Book rows'!$E$2:$E$392,MATCH(N41,'Book rows'!$A$2:$A$392,0)),"row not found")))</f>
        <v/>
      </c>
      <c r="Q41" s="13">
        <f>IF(H41="Manual",IF(L41="","",L41),IF(N41="","",IFERROR(INDEX('Book rows'!$F$2:$F$392,MATCH(N41,'Book rows'!$A$2:$A$392,0)),"row not found")))</f>
        <v/>
      </c>
    </row>
    <row r="42">
      <c r="A42" s="8" t="inlineStr">
        <is>
          <t>Specialization: Athletics</t>
        </is>
      </c>
      <c r="B42" s="8" t="inlineStr">
        <is>
          <t>Specializace: Atletika</t>
        </is>
      </c>
      <c r="C42" s="8" t="inlineStr">
        <is>
          <t>Features / Elven features / Specialization: *Skill*</t>
        </is>
      </c>
      <c r="D42" s="8" t="n">
        <v>525</v>
      </c>
      <c r="E42" s="8" t="inlineStr">
        <is>
          <t>Specializace: *Dovednost*</t>
        </is>
      </c>
      <c r="F42" s="9" t="inlineStr">
        <is>
          <t>Family rule: Elven specialization (book prices every skill alike)</t>
        </is>
      </c>
      <c r="G42" s="9" t="inlineStr">
        <is>
          <t>r146 Specializace na zbraň I (0.68); r148 Specializace na zbraň II (0.67); r469 Specializace: *Dovednost* (0.65); r752 Specializace: *Dovednost* (0.65); r487 Specialista (0.56)</t>
        </is>
      </c>
      <c r="H42" s="10" t="inlineStr">
        <is>
          <t>Accept</t>
        </is>
      </c>
      <c r="I42" s="10" t="n"/>
      <c r="J42" s="10" t="n"/>
      <c r="K42" s="10" t="n"/>
      <c r="L42" s="11" t="n"/>
      <c r="M42" s="11" t="n"/>
      <c r="N42" s="12">
        <f>IF(H42="Accept",D42,IF(H42="Use row",I42,""))</f>
        <v/>
      </c>
      <c r="O42" s="12">
        <f>IF(H42="Manual",IF(J42="","",J42),IF(N42="","",IFERROR(INDEX('Book rows'!$D$2:$D$392,MATCH(N42,'Book rows'!$A$2:$A$392,0)),"row not found")))</f>
        <v/>
      </c>
      <c r="P42" s="12">
        <f>IF(H42="Manual",IF(K42="","",K42),IF(N42="","",IFERROR(INDEX('Book rows'!$E$2:$E$392,MATCH(N42,'Book rows'!$A$2:$A$392,0)),"row not found")))</f>
        <v/>
      </c>
      <c r="Q42" s="13">
        <f>IF(H42="Manual",IF(L42="","",L42),IF(N42="","",IFERROR(INDEX('Book rows'!$F$2:$F$392,MATCH(N42,'Book rows'!$A$2:$A$392,0)),"row not found")))</f>
        <v/>
      </c>
    </row>
    <row r="43">
      <c r="A43" s="8" t="inlineStr">
        <is>
          <t>Specialization: Deception</t>
        </is>
      </c>
      <c r="B43" s="8" t="inlineStr">
        <is>
          <t>Specializace: Klamání</t>
        </is>
      </c>
      <c r="C43" s="8" t="inlineStr">
        <is>
          <t>Features / Elven features / Specialization: *Skill*</t>
        </is>
      </c>
      <c r="D43" s="8" t="n">
        <v>525</v>
      </c>
      <c r="E43" s="8" t="inlineStr">
        <is>
          <t>Specializace: *Dovednost*</t>
        </is>
      </c>
      <c r="F43" s="9" t="inlineStr">
        <is>
          <t>Family rule: Elven specialization (book prices every skill alike)</t>
        </is>
      </c>
      <c r="G43" s="9" t="inlineStr">
        <is>
          <t>r146 Specializace na zbraň I (0.79); r148 Specializace na zbraň II (0.77); r469 Specializace: *Dovednost* (0.67); r752 Specializace: *Dovednost* (0.67); r487 Specialista (0.58)</t>
        </is>
      </c>
      <c r="H43" s="10" t="inlineStr">
        <is>
          <t>Accept</t>
        </is>
      </c>
      <c r="I43" s="10" t="n"/>
      <c r="J43" s="10" t="n"/>
      <c r="K43" s="10" t="n"/>
      <c r="L43" s="11" t="n"/>
      <c r="M43" s="11" t="n"/>
      <c r="N43" s="12">
        <f>IF(H43="Accept",D43,IF(H43="Use row",I43,""))</f>
        <v/>
      </c>
      <c r="O43" s="12">
        <f>IF(H43="Manual",IF(J43="","",J43),IF(N43="","",IFERROR(INDEX('Book rows'!$D$2:$D$392,MATCH(N43,'Book rows'!$A$2:$A$392,0)),"row not found")))</f>
        <v/>
      </c>
      <c r="P43" s="12">
        <f>IF(H43="Manual",IF(K43="","",K43),IF(N43="","",IFERROR(INDEX('Book rows'!$E$2:$E$392,MATCH(N43,'Book rows'!$A$2:$A$392,0)),"row not found")))</f>
        <v/>
      </c>
      <c r="Q43" s="13">
        <f>IF(H43="Manual",IF(L43="","",L43),IF(N43="","",IFERROR(INDEX('Book rows'!$F$2:$F$392,MATCH(N43,'Book rows'!$A$2:$A$392,0)),"row not found")))</f>
        <v/>
      </c>
    </row>
    <row r="44">
      <c r="A44" s="8" t="inlineStr">
        <is>
          <t>Specialization: First Aid</t>
        </is>
      </c>
      <c r="B44" s="8" t="inlineStr">
        <is>
          <t>Specializace: Ranhojičství</t>
        </is>
      </c>
      <c r="C44" s="8" t="inlineStr">
        <is>
          <t>Features / Elven features / Specialization: *Skill*</t>
        </is>
      </c>
      <c r="D44" s="8" t="n">
        <v>525</v>
      </c>
      <c r="E44" s="8" t="inlineStr">
        <is>
          <t>Specializace: *Dovednost*</t>
        </is>
      </c>
      <c r="F44" s="9" t="inlineStr">
        <is>
          <t>Family rule: Elven specialization (book prices every skill alike)</t>
        </is>
      </c>
      <c r="G44" s="9" t="inlineStr">
        <is>
          <t>r148 Specializace na zbraň II (0.73); r469 Specializace: *Dovednost* (0.72); r752 Specializace: *Dovednost* (0.72); r146 Specializace na zbraň I (0.71); r608 Pulčická zákeřnost (0.56)</t>
        </is>
      </c>
      <c r="H44" s="10" t="inlineStr">
        <is>
          <t>Accept</t>
        </is>
      </c>
      <c r="I44" s="10" t="n"/>
      <c r="J44" s="10" t="n"/>
      <c r="K44" s="10" t="n"/>
      <c r="L44" s="11" t="n"/>
      <c r="M44" s="11" t="n"/>
      <c r="N44" s="12">
        <f>IF(H44="Accept",D44,IF(H44="Use row",I44,""))</f>
        <v/>
      </c>
      <c r="O44" s="12">
        <f>IF(H44="Manual",IF(J44="","",J44),IF(N44="","",IFERROR(INDEX('Book rows'!$D$2:$D$392,MATCH(N44,'Book rows'!$A$2:$A$392,0)),"row not found")))</f>
        <v/>
      </c>
      <c r="P44" s="12">
        <f>IF(H44="Manual",IF(K44="","",K44),IF(N44="","",IFERROR(INDEX('Book rows'!$E$2:$E$392,MATCH(N44,'Book rows'!$A$2:$A$392,0)),"row not found")))</f>
        <v/>
      </c>
      <c r="Q44" s="13">
        <f>IF(H44="Manual",IF(L44="","",L44),IF(N44="","",IFERROR(INDEX('Book rows'!$F$2:$F$392,MATCH(N44,'Book rows'!$A$2:$A$392,0)),"row not found")))</f>
        <v/>
      </c>
    </row>
    <row r="45">
      <c r="A45" s="8" t="inlineStr">
        <is>
          <t>Specialization: Herbalism</t>
        </is>
      </c>
      <c r="B45" s="8" t="inlineStr">
        <is>
          <t>Specializace: Bylinkářství</t>
        </is>
      </c>
      <c r="C45" s="8" t="inlineStr">
        <is>
          <t>Features / Elven features / Specialization: *Skill*</t>
        </is>
      </c>
      <c r="D45" s="8" t="n">
        <v>525</v>
      </c>
      <c r="E45" s="8" t="inlineStr">
        <is>
          <t>Specializace: *Dovednost*</t>
        </is>
      </c>
      <c r="F45" s="9" t="inlineStr">
        <is>
          <t>Family rule: Elven specialization (book prices every skill alike)</t>
        </is>
      </c>
      <c r="G45" s="9" t="inlineStr">
        <is>
          <t>r469 Specializace: *Dovednost* (0.68); r752 Specializace: *Dovednost* (0.68); r148 Specializace na zbraň II (0.65); r146 Specializace na zbraň I (0.62); r487 Specialista (0.56)</t>
        </is>
      </c>
      <c r="H45" s="10" t="inlineStr">
        <is>
          <t>Accept</t>
        </is>
      </c>
      <c r="I45" s="10" t="n"/>
      <c r="J45" s="10" t="n"/>
      <c r="K45" s="10" t="n"/>
      <c r="L45" s="11" t="n"/>
      <c r="M45" s="11" t="n"/>
      <c r="N45" s="12">
        <f>IF(H45="Accept",D45,IF(H45="Use row",I45,""))</f>
        <v/>
      </c>
      <c r="O45" s="12">
        <f>IF(H45="Manual",IF(J45="","",J45),IF(N45="","",IFERROR(INDEX('Book rows'!$D$2:$D$392,MATCH(N45,'Book rows'!$A$2:$A$392,0)),"row not found")))</f>
        <v/>
      </c>
      <c r="P45" s="12">
        <f>IF(H45="Manual",IF(K45="","",K45),IF(N45="","",IFERROR(INDEX('Book rows'!$E$2:$E$392,MATCH(N45,'Book rows'!$A$2:$A$392,0)),"row not found")))</f>
        <v/>
      </c>
      <c r="Q45" s="13">
        <f>IF(H45="Manual",IF(L45="","",L45),IF(N45="","",IFERROR(INDEX('Book rows'!$F$2:$F$392,MATCH(N45,'Book rows'!$A$2:$A$392,0)),"row not found")))</f>
        <v/>
      </c>
    </row>
    <row r="46">
      <c r="A46" s="8" t="inlineStr">
        <is>
          <t>Specialization: Insight</t>
        </is>
      </c>
      <c r="B46" s="8" t="inlineStr">
        <is>
          <t>Specializace: Vhled</t>
        </is>
      </c>
      <c r="C46" s="8" t="inlineStr">
        <is>
          <t>Features / Elven features / Specialization: *Skill*</t>
        </is>
      </c>
      <c r="D46" s="8" t="n">
        <v>525</v>
      </c>
      <c r="E46" s="8" t="inlineStr">
        <is>
          <t>Specializace: *Dovednost*</t>
        </is>
      </c>
      <c r="F46" s="9" t="inlineStr">
        <is>
          <t>Family rule: Elven specialization (book prices every skill alike)</t>
        </is>
      </c>
      <c r="G46" s="9" t="inlineStr">
        <is>
          <t>r469 Specializace: *Dovednost* (0.80); r752 Specializace: *Dovednost* (0.80); r146 Specializace na zbraň I (0.63); r487 Specialista (0.62); r148 Specializace na zbraň II (0.62)</t>
        </is>
      </c>
      <c r="H46" s="10" t="inlineStr">
        <is>
          <t>Accept</t>
        </is>
      </c>
      <c r="I46" s="10" t="n"/>
      <c r="J46" s="10" t="n"/>
      <c r="K46" s="10" t="n"/>
      <c r="L46" s="11" t="n"/>
      <c r="M46" s="11" t="n"/>
      <c r="N46" s="12">
        <f>IF(H46="Accept",D46,IF(H46="Use row",I46,""))</f>
        <v/>
      </c>
      <c r="O46" s="12">
        <f>IF(H46="Manual",IF(J46="","",J46),IF(N46="","",IFERROR(INDEX('Book rows'!$D$2:$D$392,MATCH(N46,'Book rows'!$A$2:$A$392,0)),"row not found")))</f>
        <v/>
      </c>
      <c r="P46" s="12">
        <f>IF(H46="Manual",IF(K46="","",K46),IF(N46="","",IFERROR(INDEX('Book rows'!$E$2:$E$392,MATCH(N46,'Book rows'!$A$2:$A$392,0)),"row not found")))</f>
        <v/>
      </c>
      <c r="Q46" s="13">
        <f>IF(H46="Manual",IF(L46="","",L46),IF(N46="","",IFERROR(INDEX('Book rows'!$F$2:$F$392,MATCH(N46,'Book rows'!$A$2:$A$392,0)),"row not found")))</f>
        <v/>
      </c>
    </row>
    <row r="47">
      <c r="A47" s="8" t="inlineStr">
        <is>
          <t>Specialization: Intimidation</t>
        </is>
      </c>
      <c r="B47" s="8" t="inlineStr">
        <is>
          <t>Specializace: Zastrašování</t>
        </is>
      </c>
      <c r="C47" s="8" t="inlineStr">
        <is>
          <t>Features / Elven features / Specialization: *Skill*</t>
        </is>
      </c>
      <c r="D47" s="8" t="n">
        <v>525</v>
      </c>
      <c r="E47" s="8" t="inlineStr">
        <is>
          <t>Specializace: *Dovednost*</t>
        </is>
      </c>
      <c r="F47" s="9" t="inlineStr">
        <is>
          <t>Family rule: Elven specialization (book prices every skill alike)</t>
        </is>
      </c>
      <c r="G47" s="9" t="inlineStr">
        <is>
          <t>r146 Specializace na zbraň I (0.75); r148 Specializace na zbraň II (0.73); r469 Specializace: *Dovednost* (0.64); r752 Specializace: *Dovednost* (0.64); r487 Specialista (0.61)</t>
        </is>
      </c>
      <c r="H47" s="10" t="inlineStr">
        <is>
          <t>Accept</t>
        </is>
      </c>
      <c r="I47" s="10" t="n"/>
      <c r="J47" s="10" t="n"/>
      <c r="K47" s="10" t="n"/>
      <c r="L47" s="11" t="n"/>
      <c r="M47" s="11" t="n"/>
      <c r="N47" s="12">
        <f>IF(H47="Accept",D47,IF(H47="Use row",I47,""))</f>
        <v/>
      </c>
      <c r="O47" s="12">
        <f>IF(H47="Manual",IF(J47="","",J47),IF(N47="","",IFERROR(INDEX('Book rows'!$D$2:$D$392,MATCH(N47,'Book rows'!$A$2:$A$392,0)),"row not found")))</f>
        <v/>
      </c>
      <c r="P47" s="12">
        <f>IF(H47="Manual",IF(K47="","",K47),IF(N47="","",IFERROR(INDEX('Book rows'!$E$2:$E$392,MATCH(N47,'Book rows'!$A$2:$A$392,0)),"row not found")))</f>
        <v/>
      </c>
      <c r="Q47" s="13">
        <f>IF(H47="Manual",IF(L47="","",L47),IF(N47="","",IFERROR(INDEX('Book rows'!$F$2:$F$392,MATCH(N47,'Book rows'!$A$2:$A$392,0)),"row not found")))</f>
        <v/>
      </c>
    </row>
    <row r="48">
      <c r="A48" s="8" t="inlineStr">
        <is>
          <t>Specialization: Leadership</t>
        </is>
      </c>
      <c r="B48" s="8" t="inlineStr">
        <is>
          <t>Specializace: Velení</t>
        </is>
      </c>
      <c r="C48" s="8" t="inlineStr">
        <is>
          <t>Features / Elven features / Specialization: *Skill*</t>
        </is>
      </c>
      <c r="D48" s="8" t="n">
        <v>525</v>
      </c>
      <c r="E48" s="8" t="inlineStr">
        <is>
          <t>Specializace: *Dovednost*</t>
        </is>
      </c>
      <c r="F48" s="9" t="inlineStr">
        <is>
          <t>Family rule: Elven specialization (book prices every skill alike)</t>
        </is>
      </c>
      <c r="G48" s="9" t="inlineStr">
        <is>
          <t>r469 Specializace: *Dovednost* (0.78); r752 Specializace: *Dovednost* (0.78); r146 Specializace na zbraň I (0.71); r148 Specializace na zbraň II (0.70); r487 Specialista (0.60)</t>
        </is>
      </c>
      <c r="H48" s="10" t="inlineStr">
        <is>
          <t>Accept</t>
        </is>
      </c>
      <c r="I48" s="10" t="n"/>
      <c r="J48" s="10" t="n"/>
      <c r="K48" s="10" t="n"/>
      <c r="L48" s="11" t="n"/>
      <c r="M48" s="11" t="n"/>
      <c r="N48" s="12">
        <f>IF(H48="Accept",D48,IF(H48="Use row",I48,""))</f>
        <v/>
      </c>
      <c r="O48" s="12">
        <f>IF(H48="Manual",IF(J48="","",J48),IF(N48="","",IFERROR(INDEX('Book rows'!$D$2:$D$392,MATCH(N48,'Book rows'!$A$2:$A$392,0)),"row not found")))</f>
        <v/>
      </c>
      <c r="P48" s="12">
        <f>IF(H48="Manual",IF(K48="","",K48),IF(N48="","",IFERROR(INDEX('Book rows'!$E$2:$E$392,MATCH(N48,'Book rows'!$A$2:$A$392,0)),"row not found")))</f>
        <v/>
      </c>
      <c r="Q48" s="13">
        <f>IF(H48="Manual",IF(L48="","",L48),IF(N48="","",IFERROR(INDEX('Book rows'!$F$2:$F$392,MATCH(N48,'Book rows'!$A$2:$A$392,0)),"row not found")))</f>
        <v/>
      </c>
    </row>
    <row r="49">
      <c r="A49" s="8" t="inlineStr">
        <is>
          <t>Specialization: Lockpicking</t>
        </is>
      </c>
      <c r="B49" s="8" t="inlineStr">
        <is>
          <t>Specializace: Odemykání zámků</t>
        </is>
      </c>
      <c r="C49" s="8" t="inlineStr">
        <is>
          <t>Features / Elven features / Specialization: *Skill*</t>
        </is>
      </c>
      <c r="D49" s="8" t="n">
        <v>525</v>
      </c>
      <c r="E49" s="8" t="inlineStr">
        <is>
          <t>Specializace: *Dovednost*</t>
        </is>
      </c>
      <c r="F49" s="9" t="inlineStr">
        <is>
          <t>Family rule: Elven specialization (book prices every skill alike)</t>
        </is>
      </c>
      <c r="G49" s="9" t="inlineStr">
        <is>
          <t>r469 Specializace: *Dovednost* (0.64); r752 Specializace: *Dovednost* (0.64); r146 Specializace na zbraň I (0.63); r148 Specializace na zbraň II (0.62); r487 Specialista (0.46)</t>
        </is>
      </c>
      <c r="H49" s="10" t="inlineStr">
        <is>
          <t>Accept</t>
        </is>
      </c>
      <c r="I49" s="10" t="n"/>
      <c r="J49" s="10" t="n"/>
      <c r="K49" s="10" t="n"/>
      <c r="L49" s="11" t="n"/>
      <c r="M49" s="11" t="n"/>
      <c r="N49" s="12">
        <f>IF(H49="Accept",D49,IF(H49="Use row",I49,""))</f>
        <v/>
      </c>
      <c r="O49" s="12">
        <f>IF(H49="Manual",IF(J49="","",J49),IF(N49="","",IFERROR(INDEX('Book rows'!$D$2:$D$392,MATCH(N49,'Book rows'!$A$2:$A$392,0)),"row not found")))</f>
        <v/>
      </c>
      <c r="P49" s="12">
        <f>IF(H49="Manual",IF(K49="","",K49),IF(N49="","",IFERROR(INDEX('Book rows'!$E$2:$E$392,MATCH(N49,'Book rows'!$A$2:$A$392,0)),"row not found")))</f>
        <v/>
      </c>
      <c r="Q49" s="13">
        <f>IF(H49="Manual",IF(L49="","",L49),IF(N49="","",IFERROR(INDEX('Book rows'!$F$2:$F$392,MATCH(N49,'Book rows'!$A$2:$A$392,0)),"row not found")))</f>
        <v/>
      </c>
    </row>
    <row r="50">
      <c r="A50" s="8" t="inlineStr">
        <is>
          <t>Specialization: Persuasion</t>
        </is>
      </c>
      <c r="B50" s="8" t="inlineStr">
        <is>
          <t>Specializace: Přesvědčování</t>
        </is>
      </c>
      <c r="C50" s="8" t="inlineStr">
        <is>
          <t>Features / Elven features / Specialization: *Skill*</t>
        </is>
      </c>
      <c r="D50" s="8" t="n">
        <v>525</v>
      </c>
      <c r="E50" s="8" t="inlineStr">
        <is>
          <t>Specializace: *Dovednost*</t>
        </is>
      </c>
      <c r="F50" s="9" t="inlineStr">
        <is>
          <t>Family rule: Elven specialization (book prices every skill alike)</t>
        </is>
      </c>
      <c r="G50" s="9" t="inlineStr">
        <is>
          <t>r469 Specializace: *Dovednost* (0.71); r752 Specializace: *Dovednost* (0.71); r146 Specializace na zbraň I (0.69); r148 Specializace na zbraň II (0.68); r487 Specialista (0.49)</t>
        </is>
      </c>
      <c r="H50" s="10" t="inlineStr">
        <is>
          <t>Accept</t>
        </is>
      </c>
      <c r="I50" s="10" t="n"/>
      <c r="J50" s="10" t="n"/>
      <c r="K50" s="10" t="n"/>
      <c r="L50" s="11" t="n"/>
      <c r="M50" s="11" t="n"/>
      <c r="N50" s="12">
        <f>IF(H50="Accept",D50,IF(H50="Use row",I50,""))</f>
        <v/>
      </c>
      <c r="O50" s="12">
        <f>IF(H50="Manual",IF(J50="","",J50),IF(N50="","",IFERROR(INDEX('Book rows'!$D$2:$D$392,MATCH(N50,'Book rows'!$A$2:$A$392,0)),"row not found")))</f>
        <v/>
      </c>
      <c r="P50" s="12">
        <f>IF(H50="Manual",IF(K50="","",K50),IF(N50="","",IFERROR(INDEX('Book rows'!$E$2:$E$392,MATCH(N50,'Book rows'!$A$2:$A$392,0)),"row not found")))</f>
        <v/>
      </c>
      <c r="Q50" s="13">
        <f>IF(H50="Manual",IF(L50="","",L50),IF(N50="","",IFERROR(INDEX('Book rows'!$F$2:$F$392,MATCH(N50,'Book rows'!$A$2:$A$392,0)),"row not found")))</f>
        <v/>
      </c>
    </row>
    <row r="51">
      <c r="A51" s="8" t="inlineStr">
        <is>
          <t>Specialization: Pickpocketing</t>
        </is>
      </c>
      <c r="B51" s="8" t="inlineStr">
        <is>
          <t>Specializace: Kapsářství</t>
        </is>
      </c>
      <c r="C51" s="8" t="inlineStr">
        <is>
          <t>Features / Elven features / Specialization: *Skill*</t>
        </is>
      </c>
      <c r="D51" s="8" t="n">
        <v>525</v>
      </c>
      <c r="E51" s="8" t="inlineStr">
        <is>
          <t>Specializace: *Dovednost*</t>
        </is>
      </c>
      <c r="F51" s="9" t="inlineStr">
        <is>
          <t>Family rule: Elven specialization (book prices every skill alike)</t>
        </is>
      </c>
      <c r="G51" s="9" t="inlineStr">
        <is>
          <t>r146 Specializace na zbraň I (0.70); r148 Specializace na zbraň II (0.68); r469 Specializace: *Dovednost* (0.67); r752 Specializace: *Dovednost* (0.67); r487 Specialista (0.59)</t>
        </is>
      </c>
      <c r="H51" s="10" t="inlineStr">
        <is>
          <t>Accept</t>
        </is>
      </c>
      <c r="I51" s="10" t="n"/>
      <c r="J51" s="10" t="n"/>
      <c r="K51" s="10" t="n"/>
      <c r="L51" s="11" t="n"/>
      <c r="M51" s="11" t="n"/>
      <c r="N51" s="12">
        <f>IF(H51="Accept",D51,IF(H51="Use row",I51,""))</f>
        <v/>
      </c>
      <c r="O51" s="12">
        <f>IF(H51="Manual",IF(J51="","",J51),IF(N51="","",IFERROR(INDEX('Book rows'!$D$2:$D$392,MATCH(N51,'Book rows'!$A$2:$A$392,0)),"row not found")))</f>
        <v/>
      </c>
      <c r="P51" s="12">
        <f>IF(H51="Manual",IF(K51="","",K51),IF(N51="","",IFERROR(INDEX('Book rows'!$E$2:$E$392,MATCH(N51,'Book rows'!$A$2:$A$392,0)),"row not found")))</f>
        <v/>
      </c>
      <c r="Q51" s="13">
        <f>IF(H51="Manual",IF(L51="","",L51),IF(N51="","",IFERROR(INDEX('Book rows'!$F$2:$F$392,MATCH(N51,'Book rows'!$A$2:$A$392,0)),"row not found")))</f>
        <v/>
      </c>
    </row>
    <row r="52">
      <c r="A52" s="8" t="inlineStr">
        <is>
          <t>Specialization: Stealth</t>
        </is>
      </c>
      <c r="B52" s="8" t="inlineStr">
        <is>
          <t>Specializace: Plížení</t>
        </is>
      </c>
      <c r="C52" s="8" t="inlineStr">
        <is>
          <t>Features / Elven features / Specialization: *Skill*</t>
        </is>
      </c>
      <c r="D52" s="8" t="n">
        <v>525</v>
      </c>
      <c r="E52" s="8" t="inlineStr">
        <is>
          <t>Specializace: *Dovednost*</t>
        </is>
      </c>
      <c r="F52" s="9" t="inlineStr">
        <is>
          <t>Family rule: Elven specialization (book prices every skill alike)</t>
        </is>
      </c>
      <c r="G52" s="9" t="inlineStr">
        <is>
          <t>r469 Specializace: *Dovednost* (0.71); r752 Specializace: *Dovednost* (0.71); r148 Specializace na zbraň II (0.68); r146 Specializace na zbraň I (0.65); r487 Specialista (0.58)</t>
        </is>
      </c>
      <c r="H52" s="10" t="inlineStr">
        <is>
          <t>Accept</t>
        </is>
      </c>
      <c r="I52" s="10" t="n"/>
      <c r="J52" s="10" t="n"/>
      <c r="K52" s="10" t="n"/>
      <c r="L52" s="11" t="n"/>
      <c r="M52" s="11" t="n"/>
      <c r="N52" s="12">
        <f>IF(H52="Accept",D52,IF(H52="Use row",I52,""))</f>
        <v/>
      </c>
      <c r="O52" s="12">
        <f>IF(H52="Manual",IF(J52="","",J52),IF(N52="","",IFERROR(INDEX('Book rows'!$D$2:$D$392,MATCH(N52,'Book rows'!$A$2:$A$392,0)),"row not found")))</f>
        <v/>
      </c>
      <c r="P52" s="12">
        <f>IF(H52="Manual",IF(K52="","",K52),IF(N52="","",IFERROR(INDEX('Book rows'!$E$2:$E$392,MATCH(N52,'Book rows'!$A$2:$A$392,0)),"row not found")))</f>
        <v/>
      </c>
      <c r="Q52" s="13">
        <f>IF(H52="Manual",IF(L52="","",L52),IF(N52="","",IFERROR(INDEX('Book rows'!$F$2:$F$392,MATCH(N52,'Book rows'!$A$2:$A$392,0)),"row not found")))</f>
        <v/>
      </c>
    </row>
    <row r="53">
      <c r="A53" s="8" t="inlineStr">
        <is>
          <t>Specialization: Survival</t>
        </is>
      </c>
      <c r="B53" s="8" t="inlineStr">
        <is>
          <t>Specializace: Přežití</t>
        </is>
      </c>
      <c r="C53" s="8" t="inlineStr">
        <is>
          <t>Features / Elven features / Specialization: *Skill*</t>
        </is>
      </c>
      <c r="D53" s="8" t="n">
        <v>525</v>
      </c>
      <c r="E53" s="8" t="inlineStr">
        <is>
          <t>Specializace: *Dovednost*</t>
        </is>
      </c>
      <c r="F53" s="9" t="inlineStr">
        <is>
          <t>Family rule: Elven specialization (book prices every skill alike)</t>
        </is>
      </c>
      <c r="G53" s="9" t="inlineStr">
        <is>
          <t>r148 Specializace na zbraň II (0.73); r469 Specializace: *Dovednost* (0.71); r752 Specializace: *Dovednost* (0.71); r146 Specializace na zbraň I (0.70); r487 Specialista (0.58)</t>
        </is>
      </c>
      <c r="H53" s="10" t="inlineStr">
        <is>
          <t>Accept</t>
        </is>
      </c>
      <c r="I53" s="10" t="n"/>
      <c r="J53" s="10" t="n"/>
      <c r="K53" s="10" t="n"/>
      <c r="L53" s="11" t="n"/>
      <c r="M53" s="11" t="n"/>
      <c r="N53" s="12">
        <f>IF(H53="Accept",D53,IF(H53="Use row",I53,""))</f>
        <v/>
      </c>
      <c r="O53" s="12">
        <f>IF(H53="Manual",IF(J53="","",J53),IF(N53="","",IFERROR(INDEX('Book rows'!$D$2:$D$392,MATCH(N53,'Book rows'!$A$2:$A$392,0)),"row not found")))</f>
        <v/>
      </c>
      <c r="P53" s="12">
        <f>IF(H53="Manual",IF(K53="","",K53),IF(N53="","",IFERROR(INDEX('Book rows'!$E$2:$E$392,MATCH(N53,'Book rows'!$A$2:$A$392,0)),"row not found")))</f>
        <v/>
      </c>
      <c r="Q53" s="13">
        <f>IF(H53="Manual",IF(L53="","",L53),IF(N53="","",IFERROR(INDEX('Book rows'!$F$2:$F$392,MATCH(N53,'Book rows'!$A$2:$A$392,0)),"row not found")))</f>
        <v/>
      </c>
    </row>
    <row r="54">
      <c r="A54" s="8" t="inlineStr">
        <is>
          <t>Specialization: Temptation</t>
        </is>
      </c>
      <c r="B54" s="8" t="inlineStr">
        <is>
          <t>Specializace: Pokoušení</t>
        </is>
      </c>
      <c r="C54" s="8" t="inlineStr">
        <is>
          <t>Features / Elven features / Specialization: *Skill*</t>
        </is>
      </c>
      <c r="D54" s="8" t="n">
        <v>525</v>
      </c>
      <c r="E54" s="8" t="inlineStr">
        <is>
          <t>Specializace: *Dovednost*</t>
        </is>
      </c>
      <c r="F54" s="9" t="inlineStr">
        <is>
          <t>Family rule: Elven specialization (book prices every skill alike)</t>
        </is>
      </c>
      <c r="G54" s="9" t="inlineStr">
        <is>
          <t>r469 Specializace: *Dovednost* (0.73); r752 Specializace: *Dovednost* (0.73); r146 Specializace na zbraň I (0.67); r148 Specializace na zbraň II (0.65); r581 Temné pokušení (0.61)</t>
        </is>
      </c>
      <c r="H54" s="10" t="inlineStr">
        <is>
          <t>Accept</t>
        </is>
      </c>
      <c r="I54" s="10" t="n"/>
      <c r="J54" s="10" t="n"/>
      <c r="K54" s="10" t="n"/>
      <c r="L54" s="11" t="n"/>
      <c r="M54" s="11" t="n"/>
      <c r="N54" s="12">
        <f>IF(H54="Accept",D54,IF(H54="Use row",I54,""))</f>
        <v/>
      </c>
      <c r="O54" s="12">
        <f>IF(H54="Manual",IF(J54="","",J54),IF(N54="","",IFERROR(INDEX('Book rows'!$D$2:$D$392,MATCH(N54,'Book rows'!$A$2:$A$392,0)),"row not found")))</f>
        <v/>
      </c>
      <c r="P54" s="12">
        <f>IF(H54="Manual",IF(K54="","",K54),IF(N54="","",IFERROR(INDEX('Book rows'!$E$2:$E$392,MATCH(N54,'Book rows'!$A$2:$A$392,0)),"row not found")))</f>
        <v/>
      </c>
      <c r="Q54" s="13">
        <f>IF(H54="Manual",IF(L54="","",L54),IF(N54="","",IFERROR(INDEX('Book rows'!$F$2:$F$392,MATCH(N54,'Book rows'!$A$2:$A$392,0)),"row not found")))</f>
        <v/>
      </c>
    </row>
    <row r="55">
      <c r="A55" s="8" t="inlineStr">
        <is>
          <t>Specialization: Traps</t>
        </is>
      </c>
      <c r="B55" s="8" t="inlineStr">
        <is>
          <t>Specializace: Pasti</t>
        </is>
      </c>
      <c r="C55" s="8" t="inlineStr">
        <is>
          <t>Features / Elven features / Specialization: *Skill*</t>
        </is>
      </c>
      <c r="D55" s="8" t="n">
        <v>525</v>
      </c>
      <c r="E55" s="8" t="inlineStr">
        <is>
          <t>Specializace: *Dovednost*</t>
        </is>
      </c>
      <c r="F55" s="9" t="inlineStr">
        <is>
          <t>Family rule: Elven specialization (book prices every skill alike)</t>
        </is>
      </c>
      <c r="G55" s="9" t="inlineStr">
        <is>
          <t>r469 Specializace: *Dovednost* (0.75); r752 Specializace: *Dovednost* (0.75); r146 Specializace na zbraň I (0.73); r148 Specializace na zbraň II (0.71); r487 Specialista (0.69)</t>
        </is>
      </c>
      <c r="H55" s="10" t="inlineStr">
        <is>
          <t>Accept</t>
        </is>
      </c>
      <c r="I55" s="10" t="n"/>
      <c r="J55" s="10" t="n"/>
      <c r="K55" s="10" t="n"/>
      <c r="L55" s="11" t="n"/>
      <c r="M55" s="11" t="n"/>
      <c r="N55" s="12">
        <f>IF(H55="Accept",D55,IF(H55="Use row",I55,""))</f>
        <v/>
      </c>
      <c r="O55" s="12">
        <f>IF(H55="Manual",IF(J55="","",J55),IF(N55="","",IFERROR(INDEX('Book rows'!$D$2:$D$392,MATCH(N55,'Book rows'!$A$2:$A$392,0)),"row not found")))</f>
        <v/>
      </c>
      <c r="P55" s="12">
        <f>IF(H55="Manual",IF(K55="","",K55),IF(N55="","",IFERROR(INDEX('Book rows'!$E$2:$E$392,MATCH(N55,'Book rows'!$A$2:$A$392,0)),"row not found")))</f>
        <v/>
      </c>
      <c r="Q55" s="13">
        <f>IF(H55="Manual",IF(L55="","",L55),IF(N55="","",IFERROR(INDEX('Book rows'!$F$2:$F$392,MATCH(N55,'Book rows'!$A$2:$A$392,0)),"row not found")))</f>
        <v/>
      </c>
    </row>
    <row r="56">
      <c r="A56" s="8" t="inlineStr">
        <is>
          <t>Feather footed</t>
        </is>
      </c>
      <c r="B56" s="8" t="inlineStr">
        <is>
          <t>Lehkonohý</t>
        </is>
      </c>
      <c r="C56" s="8" t="inlineStr">
        <is>
          <t>Features / Halfling features</t>
        </is>
      </c>
      <c r="D56" s="8" t="n"/>
      <c r="E56" s="8" t="n"/>
      <c r="F56" s="9" t="inlineStr">
        <is>
          <t>No real candidate in the book</t>
        </is>
      </c>
      <c r="G56" s="9" t="inlineStr">
        <is>
          <t>r406 Hbité nohy (0.53); r307 Zocelený (0.47); r479 Talentovaný I (0.45); r829 Vůle bohů (0.44); r412 Nebojácný (0.44)</t>
        </is>
      </c>
      <c r="H56" s="10" t="n"/>
      <c r="I56" s="10" t="n"/>
      <c r="J56" s="10" t="n"/>
      <c r="K56" s="10" t="n"/>
      <c r="L56" s="11" t="n"/>
      <c r="M56" s="11" t="n"/>
      <c r="N56" s="12">
        <f>IF(H56="Accept",D56,IF(H56="Use row",I56,""))</f>
        <v/>
      </c>
      <c r="O56" s="12">
        <f>IF(H56="Manual",IF(J56="","",J56),IF(N56="","",IFERROR(INDEX('Book rows'!$D$2:$D$392,MATCH(N56,'Book rows'!$A$2:$A$392,0)),"row not found")))</f>
        <v/>
      </c>
      <c r="P56" s="12">
        <f>IF(H56="Manual",IF(K56="","",K56),IF(N56="","",IFERROR(INDEX('Book rows'!$E$2:$E$392,MATCH(N56,'Book rows'!$A$2:$A$392,0)),"row not found")))</f>
        <v/>
      </c>
      <c r="Q56" s="13">
        <f>IF(H56="Manual",IF(L56="","",L56),IF(N56="","",IFERROR(INDEX('Book rows'!$F$2:$F$392,MATCH(N56,'Book rows'!$A$2:$A$392,0)),"row not found")))</f>
        <v/>
      </c>
    </row>
    <row r="57">
      <c r="A57" s="8" t="inlineStr">
        <is>
          <t>Foodie</t>
        </is>
      </c>
      <c r="B57" s="8" t="inlineStr">
        <is>
          <t>Labužník</t>
        </is>
      </c>
      <c r="C57" s="8" t="inlineStr">
        <is>
          <t>Features / Halfling features</t>
        </is>
      </c>
      <c r="D57" s="8" t="n"/>
      <c r="E57" s="8" t="n"/>
      <c r="F57" s="9" t="inlineStr">
        <is>
          <t>No real candidate in the book</t>
        </is>
      </c>
      <c r="G57" s="9" t="inlineStr">
        <is>
          <t>r134 Řezník (0.57); r267 Spolubojovník (0.48); r170 Zbojník I (0.47); r116 Přetažení (0.47); r128 Rychlý útočník (0.45)</t>
        </is>
      </c>
      <c r="H57" s="10" t="n"/>
      <c r="I57" s="10" t="n"/>
      <c r="J57" s="10" t="n"/>
      <c r="K57" s="10" t="n"/>
      <c r="L57" s="11" t="n"/>
      <c r="M57" s="11" t="n"/>
      <c r="N57" s="12">
        <f>IF(H57="Accept",D57,IF(H57="Use row",I57,""))</f>
        <v/>
      </c>
      <c r="O57" s="12">
        <f>IF(H57="Manual",IF(J57="","",J57),IF(N57="","",IFERROR(INDEX('Book rows'!$D$2:$D$392,MATCH(N57,'Book rows'!$A$2:$A$392,0)),"row not found")))</f>
        <v/>
      </c>
      <c r="P57" s="12">
        <f>IF(H57="Manual",IF(K57="","",K57),IF(N57="","",IFERROR(INDEX('Book rows'!$E$2:$E$392,MATCH(N57,'Book rows'!$A$2:$A$392,0)),"row not found")))</f>
        <v/>
      </c>
      <c r="Q57" s="13">
        <f>IF(H57="Manual",IF(L57="","",L57),IF(N57="","",IFERROR(INDEX('Book rows'!$F$2:$F$392,MATCH(N57,'Book rows'!$A$2:$A$392,0)),"row not found")))</f>
        <v/>
      </c>
    </row>
    <row r="58">
      <c r="A58" s="8" t="inlineStr">
        <is>
          <t>Halfling insidiousness</t>
        </is>
      </c>
      <c r="B58" s="8" t="inlineStr">
        <is>
          <t>Půlčičí zákeřnost</t>
        </is>
      </c>
      <c r="C58" s="8" t="inlineStr">
        <is>
          <t>Features / Halfling features</t>
        </is>
      </c>
      <c r="D58" s="8" t="n">
        <v>608</v>
      </c>
      <c r="E58" s="8" t="inlineStr">
        <is>
          <t>Pulčická zákeřnost</t>
        </is>
      </c>
      <c r="F58" s="9" t="inlineStr">
        <is>
          <t>Name looks alike (0.91); check it is the same feature</t>
        </is>
      </c>
      <c r="G58" s="9" t="inlineStr">
        <is>
          <t>r645 Hadí zákeřnost (0.71); r606 Pulčické štěstí (0.62); r506 Trpasličí talent (0.61); r498 Trpasličí nezdolnost (0.59)</t>
        </is>
      </c>
      <c r="H58" s="10" t="n"/>
      <c r="I58" s="10" t="n"/>
      <c r="J58" s="10" t="n"/>
      <c r="K58" s="10" t="n"/>
      <c r="L58" s="11" t="n"/>
      <c r="M58" s="11" t="n"/>
      <c r="N58" s="12">
        <f>IF(H58="Accept",D58,IF(H58="Use row",I58,""))</f>
        <v/>
      </c>
      <c r="O58" s="12">
        <f>IF(H58="Manual",IF(J58="","",J58),IF(N58="","",IFERROR(INDEX('Book rows'!$D$2:$D$392,MATCH(N58,'Book rows'!$A$2:$A$392,0)),"row not found")))</f>
        <v/>
      </c>
      <c r="P58" s="12">
        <f>IF(H58="Manual",IF(K58="","",K58),IF(N58="","",IFERROR(INDEX('Book rows'!$E$2:$E$392,MATCH(N58,'Book rows'!$A$2:$A$392,0)),"row not found")))</f>
        <v/>
      </c>
      <c r="Q58" s="13">
        <f>IF(H58="Manual",IF(L58="","",L58),IF(N58="","",IFERROR(INDEX('Book rows'!$F$2:$F$392,MATCH(N58,'Book rows'!$A$2:$A$392,0)),"row not found")))</f>
        <v/>
      </c>
    </row>
    <row r="59">
      <c r="A59" s="8" t="inlineStr">
        <is>
          <t>Halfling luck</t>
        </is>
      </c>
      <c r="B59" s="8" t="inlineStr">
        <is>
          <t>Půlčičí štěstí</t>
        </is>
      </c>
      <c r="C59" s="8" t="inlineStr">
        <is>
          <t>Features / Halfling features</t>
        </is>
      </c>
      <c r="D59" s="8" t="n">
        <v>606</v>
      </c>
      <c r="E59" s="8" t="inlineStr">
        <is>
          <t>Pulčické štěstí</t>
        </is>
      </c>
      <c r="F59" s="9" t="inlineStr">
        <is>
          <t>Name looks alike (0.90); check it is the same feature</t>
        </is>
      </c>
      <c r="G59" s="9" t="inlineStr">
        <is>
          <t>r506 Trpasličí talent (0.60); r608 Pulčická zákeřnost (0.56); r410 Neúnavné štěstí (0.55); r516 Trpasličí kušník (0.53)</t>
        </is>
      </c>
      <c r="H59" s="10" t="n"/>
      <c r="I59" s="10" t="n"/>
      <c r="J59" s="10" t="n"/>
      <c r="K59" s="10" t="n"/>
      <c r="L59" s="11" t="n"/>
      <c r="M59" s="11" t="n"/>
      <c r="N59" s="12">
        <f>IF(H59="Accept",D59,IF(H59="Use row",I59,""))</f>
        <v/>
      </c>
      <c r="O59" s="12">
        <f>IF(H59="Manual",IF(J59="","",J59),IF(N59="","",IFERROR(INDEX('Book rows'!$D$2:$D$392,MATCH(N59,'Book rows'!$A$2:$A$392,0)),"row not found")))</f>
        <v/>
      </c>
      <c r="P59" s="12">
        <f>IF(H59="Manual",IF(K59="","",K59),IF(N59="","",IFERROR(INDEX('Book rows'!$E$2:$E$392,MATCH(N59,'Book rows'!$A$2:$A$392,0)),"row not found")))</f>
        <v/>
      </c>
      <c r="Q59" s="13">
        <f>IF(H59="Manual",IF(L59="","",L59),IF(N59="","",IFERROR(INDEX('Book rows'!$F$2:$F$392,MATCH(N59,'Book rows'!$A$2:$A$392,0)),"row not found")))</f>
        <v/>
      </c>
    </row>
    <row r="60">
      <c r="A60" s="8" t="inlineStr">
        <is>
          <t>Halfling reroll</t>
        </is>
      </c>
      <c r="B60" s="8" t="inlineStr">
        <is>
          <t>Půlčičí přehoz</t>
        </is>
      </c>
      <c r="C60" s="8" t="inlineStr">
        <is>
          <t>Features / Halfling features</t>
        </is>
      </c>
      <c r="D60" s="8" t="n"/>
      <c r="E60" s="8" t="n"/>
      <c r="F60" s="9" t="inlineStr">
        <is>
          <t>No real candidate in the book</t>
        </is>
      </c>
      <c r="G60" s="9" t="inlineStr">
        <is>
          <t>r608 Pulčická zákeřnost (0.56); r514 Trpasličí pikenýr (0.52); r494 Trpasličí játra (0.48); r606 Pulčické štěstí (0.48); r807 Číhající dravec (0.48)</t>
        </is>
      </c>
      <c r="H60" s="10" t="n"/>
      <c r="I60" s="10" t="n"/>
      <c r="J60" s="10" t="n"/>
      <c r="K60" s="10" t="n"/>
      <c r="L60" s="11" t="n"/>
      <c r="M60" s="11" t="n"/>
      <c r="N60" s="12">
        <f>IF(H60="Accept",D60,IF(H60="Use row",I60,""))</f>
        <v/>
      </c>
      <c r="O60" s="12">
        <f>IF(H60="Manual",IF(J60="","",J60),IF(N60="","",IFERROR(INDEX('Book rows'!$D$2:$D$392,MATCH(N60,'Book rows'!$A$2:$A$392,0)),"row not found")))</f>
        <v/>
      </c>
      <c r="P60" s="12">
        <f>IF(H60="Manual",IF(K60="","",K60),IF(N60="","",IFERROR(INDEX('Book rows'!$E$2:$E$392,MATCH(N60,'Book rows'!$A$2:$A$392,0)),"row not found")))</f>
        <v/>
      </c>
      <c r="Q60" s="13">
        <f>IF(H60="Manual",IF(L60="","",L60),IF(N60="","",IFERROR(INDEX('Book rows'!$F$2:$F$392,MATCH(N60,'Book rows'!$A$2:$A$392,0)),"row not found")))</f>
        <v/>
      </c>
    </row>
    <row r="61">
      <c r="A61" s="8" t="inlineStr">
        <is>
          <t>Patron</t>
        </is>
      </c>
      <c r="B61" s="8" t="inlineStr">
        <is>
          <t>Patron</t>
        </is>
      </c>
      <c r="C61" s="8" t="inlineStr">
        <is>
          <t>Features / Halfling features</t>
        </is>
      </c>
      <c r="D61" s="8" t="n"/>
      <c r="E61" s="8" t="n"/>
      <c r="F61" s="9" t="inlineStr">
        <is>
          <t>No real candidate in the book</t>
        </is>
      </c>
      <c r="G61" s="9" t="inlineStr">
        <is>
          <t>r749 Prastarý (0.57); r512 Partizán (0.57); r106 Prohození (0.53); r88 Pistolník I (0.47); r353 Temperament Ohně (0.45)</t>
        </is>
      </c>
      <c r="H61" s="10" t="n"/>
      <c r="I61" s="10" t="n"/>
      <c r="J61" s="10" t="n"/>
      <c r="K61" s="10" t="n"/>
      <c r="L61" s="11" t="n"/>
      <c r="M61" s="11" t="n"/>
      <c r="N61" s="12">
        <f>IF(H61="Accept",D61,IF(H61="Use row",I61,""))</f>
        <v/>
      </c>
      <c r="O61" s="12">
        <f>IF(H61="Manual",IF(J61="","",J61),IF(N61="","",IFERROR(INDEX('Book rows'!$D$2:$D$392,MATCH(N61,'Book rows'!$A$2:$A$392,0)),"row not found")))</f>
        <v/>
      </c>
      <c r="P61" s="12">
        <f>IF(H61="Manual",IF(K61="","",K61),IF(N61="","",IFERROR(INDEX('Book rows'!$E$2:$E$392,MATCH(N61,'Book rows'!$A$2:$A$392,0)),"row not found")))</f>
        <v/>
      </c>
      <c r="Q61" s="13">
        <f>IF(H61="Manual",IF(L61="","",L61),IF(N61="","",IFERROR(INDEX('Book rows'!$F$2:$F$392,MATCH(N61,'Book rows'!$A$2:$A$392,0)),"row not found")))</f>
        <v/>
      </c>
    </row>
    <row r="62">
      <c r="A62" s="8" t="inlineStr">
        <is>
          <t>Slimy fingers</t>
        </is>
      </c>
      <c r="B62" s="8" t="inlineStr">
        <is>
          <t>Kluzké prsty</t>
        </is>
      </c>
      <c r="C62" s="8" t="inlineStr">
        <is>
          <t>Features / Halfling features</t>
        </is>
      </c>
      <c r="D62" s="8" t="n">
        <v>618</v>
      </c>
      <c r="E62" s="8" t="inlineStr">
        <is>
          <t>Šikovné prsty</t>
        </is>
      </c>
      <c r="F62" s="9" t="inlineStr">
        <is>
          <t>Weak name match (0.64); likely wrong</t>
        </is>
      </c>
      <c r="G62" s="9" t="inlineStr">
        <is>
          <t>r616 Hbité prsty (0.61); r793 Kouzelné peří (0.56); r749 Prastarý (0.50); r178 Železné svaly (0.48)</t>
        </is>
      </c>
      <c r="H62" s="10" t="n"/>
      <c r="I62" s="10" t="n"/>
      <c r="J62" s="10" t="n"/>
      <c r="K62" s="10" t="n"/>
      <c r="L62" s="11" t="n"/>
      <c r="M62" s="11" t="n"/>
      <c r="N62" s="12">
        <f>IF(H62="Accept",D62,IF(H62="Use row",I62,""))</f>
        <v/>
      </c>
      <c r="O62" s="12">
        <f>IF(H62="Manual",IF(J62="","",J62),IF(N62="","",IFERROR(INDEX('Book rows'!$D$2:$D$392,MATCH(N62,'Book rows'!$A$2:$A$392,0)),"row not found")))</f>
        <v/>
      </c>
      <c r="P62" s="12">
        <f>IF(H62="Manual",IF(K62="","",K62),IF(N62="","",IFERROR(INDEX('Book rows'!$E$2:$E$392,MATCH(N62,'Book rows'!$A$2:$A$392,0)),"row not found")))</f>
        <v/>
      </c>
      <c r="Q62" s="13">
        <f>IF(H62="Manual",IF(L62="","",L62),IF(N62="","",IFERROR(INDEX('Book rows'!$F$2:$F$392,MATCH(N62,'Book rows'!$A$2:$A$392,0)),"row not found")))</f>
        <v/>
      </c>
    </row>
    <row r="63">
      <c r="A63" s="8" t="inlineStr">
        <is>
          <t>Willfulness I</t>
        </is>
      </c>
      <c r="B63" s="8" t="inlineStr">
        <is>
          <t>Síla vůle I</t>
        </is>
      </c>
      <c r="C63" s="8" t="inlineStr">
        <is>
          <t>Features / Human features</t>
        </is>
      </c>
      <c r="D63" s="8" t="n"/>
      <c r="E63" s="8" t="n"/>
      <c r="F63" s="9" t="inlineStr">
        <is>
          <t>No real candidate in the book</t>
        </is>
      </c>
      <c r="G63" s="9" t="inlineStr">
        <is>
          <t>r281 Svalovec I (0.57); r283 Svalovec II (0.55); r158 Volná ruka I (0.52); r682 Zběsilá magie (0.50); r829 Vůle bohů (0.50)</t>
        </is>
      </c>
      <c r="H63" s="10" t="n"/>
      <c r="I63" s="10" t="n"/>
      <c r="J63" s="10" t="n"/>
      <c r="K63" s="10" t="n"/>
      <c r="L63" s="11" t="n"/>
      <c r="M63" s="11" t="n"/>
      <c r="N63" s="12">
        <f>IF(H63="Accept",D63,IF(H63="Use row",I63,""))</f>
        <v/>
      </c>
      <c r="O63" s="12">
        <f>IF(H63="Manual",IF(J63="","",J63),IF(N63="","",IFERROR(INDEX('Book rows'!$D$2:$D$392,MATCH(N63,'Book rows'!$A$2:$A$392,0)),"row not found")))</f>
        <v/>
      </c>
      <c r="P63" s="12">
        <f>IF(H63="Manual",IF(K63="","",K63),IF(N63="","",IFERROR(INDEX('Book rows'!$E$2:$E$392,MATCH(N63,'Book rows'!$A$2:$A$392,0)),"row not found")))</f>
        <v/>
      </c>
      <c r="Q63" s="13">
        <f>IF(H63="Manual",IF(L63="","",L63),IF(N63="","",IFERROR(INDEX('Book rows'!$F$2:$F$392,MATCH(N63,'Book rows'!$A$2:$A$392,0)),"row not found")))</f>
        <v/>
      </c>
    </row>
    <row r="64">
      <c r="A64" s="8" t="inlineStr">
        <is>
          <t>Willfulness II</t>
        </is>
      </c>
      <c r="B64" s="8" t="inlineStr">
        <is>
          <t>Síla vůle II</t>
        </is>
      </c>
      <c r="C64" s="8" t="inlineStr">
        <is>
          <t>Features / Human features</t>
        </is>
      </c>
      <c r="D64" s="8" t="n">
        <v>283</v>
      </c>
      <c r="E64" s="8" t="inlineStr">
        <is>
          <t>Svalovec II</t>
        </is>
      </c>
      <c r="F64" s="9" t="inlineStr">
        <is>
          <t>Weak name match (0.61); likely wrong</t>
        </is>
      </c>
      <c r="G64" s="9" t="inlineStr">
        <is>
          <t>r160 Volná ruka II (0.56); r281 Svalovec I (0.55); r477 Lidská umíněnost II (0.52); r158 Volná ruka I (0.50)</t>
        </is>
      </c>
      <c r="H64" s="10" t="n"/>
      <c r="I64" s="10" t="n"/>
      <c r="J64" s="10" t="n"/>
      <c r="K64" s="10" t="n"/>
      <c r="L64" s="11" t="n"/>
      <c r="M64" s="11" t="n"/>
      <c r="N64" s="12">
        <f>IF(H64="Accept",D64,IF(H64="Use row",I64,""))</f>
        <v/>
      </c>
      <c r="O64" s="12">
        <f>IF(H64="Manual",IF(J64="","",J64),IF(N64="","",IFERROR(INDEX('Book rows'!$D$2:$D$392,MATCH(N64,'Book rows'!$A$2:$A$392,0)),"row not found")))</f>
        <v/>
      </c>
      <c r="P64" s="12">
        <f>IF(H64="Manual",IF(K64="","",K64),IF(N64="","",IFERROR(INDEX('Book rows'!$E$2:$E$392,MATCH(N64,'Book rows'!$A$2:$A$392,0)),"row not found")))</f>
        <v/>
      </c>
      <c r="Q64" s="13">
        <f>IF(H64="Manual",IF(L64="","",L64),IF(N64="","",IFERROR(INDEX('Book rows'!$F$2:$F$392,MATCH(N64,'Book rows'!$A$2:$A$392,0)),"row not found")))</f>
        <v/>
      </c>
    </row>
    <row r="65">
      <c r="A65" s="8" t="inlineStr">
        <is>
          <t>Willingness to learn</t>
        </is>
      </c>
      <c r="B65" s="8" t="inlineStr">
        <is>
          <t>Učenlivost</t>
        </is>
      </c>
      <c r="C65" s="8" t="inlineStr">
        <is>
          <t>Features / Human features</t>
        </is>
      </c>
      <c r="D65" s="8" t="n">
        <v>287</v>
      </c>
      <c r="E65" s="8" t="inlineStr">
        <is>
          <t>Učenlivý</t>
        </is>
      </c>
      <c r="F65" s="9" t="inlineStr">
        <is>
          <t>Weak name match (0.78); likely wrong</t>
        </is>
      </c>
      <c r="G65" s="9" t="inlineStr">
        <is>
          <t>r471 Lidská učenlivost I (0.69); r527 Elfská učenlivost I (0.69); r473 Lidská učenlivost II (0.67); r529 Elfská učenlivost II (0.67)</t>
        </is>
      </c>
      <c r="H65" s="10" t="n"/>
      <c r="I65" s="10" t="n"/>
      <c r="J65" s="10" t="n"/>
      <c r="K65" s="10" t="n"/>
      <c r="L65" s="11" t="n"/>
      <c r="M65" s="11" t="n"/>
      <c r="N65" s="12">
        <f>IF(H65="Accept",D65,IF(H65="Use row",I65,""))</f>
        <v/>
      </c>
      <c r="O65" s="12">
        <f>IF(H65="Manual",IF(J65="","",J65),IF(N65="","",IFERROR(INDEX('Book rows'!$D$2:$D$392,MATCH(N65,'Book rows'!$A$2:$A$392,0)),"row not found")))</f>
        <v/>
      </c>
      <c r="P65" s="12">
        <f>IF(H65="Manual",IF(K65="","",K65),IF(N65="","",IFERROR(INDEX('Book rows'!$E$2:$E$392,MATCH(N65,'Book rows'!$A$2:$A$392,0)),"row not found")))</f>
        <v/>
      </c>
      <c r="Q65" s="13">
        <f>IF(H65="Manual",IF(L65="","",L65),IF(N65="","",IFERROR(INDEX('Book rows'!$F$2:$F$392,MATCH(N65,'Book rows'!$A$2:$A$392,0)),"row not found")))</f>
        <v/>
      </c>
    </row>
    <row r="66">
      <c r="A66" s="8" t="inlineStr">
        <is>
          <t>Specialization: Acrobacy</t>
        </is>
      </c>
      <c r="B66" s="8" t="inlineStr">
        <is>
          <t>Specializace: Akrobacie</t>
        </is>
      </c>
      <c r="C66" s="8" t="inlineStr">
        <is>
          <t>Features / Human features / Specialization: *Skill*</t>
        </is>
      </c>
      <c r="D66" s="8" t="n">
        <v>469</v>
      </c>
      <c r="E66" s="8" t="inlineStr">
        <is>
          <t>Specializace: *Dovednost*</t>
        </is>
      </c>
      <c r="F66" s="9" t="inlineStr">
        <is>
          <t>Family rule: Human specialization (book prices every skill alike)</t>
        </is>
      </c>
      <c r="G66" s="9" t="inlineStr">
        <is>
          <t>r146 Specializace na zbraň I (0.76); r148 Specializace na zbraň II (0.74); r525 Specializace: *Dovednost* (0.68); r752 Specializace: *Dovednost* (0.68); r487 Specialista (0.55)</t>
        </is>
      </c>
      <c r="H66" s="10" t="inlineStr">
        <is>
          <t>Accept</t>
        </is>
      </c>
      <c r="I66" s="10" t="n"/>
      <c r="J66" s="10" t="n"/>
      <c r="K66" s="10" t="n"/>
      <c r="L66" s="11" t="n"/>
      <c r="M66" s="11" t="n"/>
      <c r="N66" s="12">
        <f>IF(H66="Accept",D66,IF(H66="Use row",I66,""))</f>
        <v/>
      </c>
      <c r="O66" s="12">
        <f>IF(H66="Manual",IF(J66="","",J66),IF(N66="","",IFERROR(INDEX('Book rows'!$D$2:$D$392,MATCH(N66,'Book rows'!$A$2:$A$392,0)),"row not found")))</f>
        <v/>
      </c>
      <c r="P66" s="12">
        <f>IF(H66="Manual",IF(K66="","",K66),IF(N66="","",IFERROR(INDEX('Book rows'!$E$2:$E$392,MATCH(N66,'Book rows'!$A$2:$A$392,0)),"row not found")))</f>
        <v/>
      </c>
      <c r="Q66" s="13">
        <f>IF(H66="Manual",IF(L66="","",L66),IF(N66="","",IFERROR(INDEX('Book rows'!$F$2:$F$392,MATCH(N66,'Book rows'!$A$2:$A$392,0)),"row not found")))</f>
        <v/>
      </c>
    </row>
    <row r="67">
      <c r="A67" s="8" t="inlineStr">
        <is>
          <t>Specialization: Alchemy</t>
        </is>
      </c>
      <c r="B67" s="8" t="inlineStr">
        <is>
          <t>Specializace: Alchymie</t>
        </is>
      </c>
      <c r="C67" s="8" t="inlineStr">
        <is>
          <t>Features / Human features / Specialization: *Skill*</t>
        </is>
      </c>
      <c r="D67" s="8" t="n">
        <v>469</v>
      </c>
      <c r="E67" s="8" t="inlineStr">
        <is>
          <t>Specializace: *Dovednost*</t>
        </is>
      </c>
      <c r="F67" s="9" t="inlineStr">
        <is>
          <t>Family rule: Human specialization (book prices every skill alike)</t>
        </is>
      </c>
      <c r="G67" s="9" t="inlineStr">
        <is>
          <t>r146 Specializace na zbraň I (0.68); r148 Specializace na zbraň II (0.67); r525 Specializace: *Dovednost* (0.65); r752 Specializace: *Dovednost* (0.65); r487 Specialista (0.56)</t>
        </is>
      </c>
      <c r="H67" s="10" t="inlineStr">
        <is>
          <t>Accept</t>
        </is>
      </c>
      <c r="I67" s="10" t="n"/>
      <c r="J67" s="10" t="n"/>
      <c r="K67" s="10" t="n"/>
      <c r="L67" s="11" t="n"/>
      <c r="M67" s="11" t="n"/>
      <c r="N67" s="12">
        <f>IF(H67="Accept",D67,IF(H67="Use row",I67,""))</f>
        <v/>
      </c>
      <c r="O67" s="12">
        <f>IF(H67="Manual",IF(J67="","",J67),IF(N67="","",IFERROR(INDEX('Book rows'!$D$2:$D$392,MATCH(N67,'Book rows'!$A$2:$A$392,0)),"row not found")))</f>
        <v/>
      </c>
      <c r="P67" s="12">
        <f>IF(H67="Manual",IF(K67="","",K67),IF(N67="","",IFERROR(INDEX('Book rows'!$E$2:$E$392,MATCH(N67,'Book rows'!$A$2:$A$392,0)),"row not found")))</f>
        <v/>
      </c>
      <c r="Q67" s="13">
        <f>IF(H67="Manual",IF(L67="","",L67),IF(N67="","",IFERROR(INDEX('Book rows'!$F$2:$F$392,MATCH(N67,'Book rows'!$A$2:$A$392,0)),"row not found")))</f>
        <v/>
      </c>
    </row>
    <row r="68">
      <c r="A68" s="8" t="inlineStr">
        <is>
          <t>Specialization: Arcana</t>
        </is>
      </c>
      <c r="B68" s="8" t="inlineStr">
        <is>
          <t>Specializace: Arcana</t>
        </is>
      </c>
      <c r="C68" s="8" t="inlineStr">
        <is>
          <t>Features / Human features / Specialization: *Skill*</t>
        </is>
      </c>
      <c r="D68" s="8" t="n">
        <v>469</v>
      </c>
      <c r="E68" s="8" t="inlineStr">
        <is>
          <t>Specializace: *Dovednost*</t>
        </is>
      </c>
      <c r="F68" s="9" t="inlineStr">
        <is>
          <t>Family rule: Human specialization (book prices every skill alike)</t>
        </is>
      </c>
      <c r="G68" s="9" t="inlineStr">
        <is>
          <t>r146 Specializace na zbraň I (0.81); r148 Specializace na zbraň II (0.79); r525 Specializace: *Dovednost* (0.68); r752 Specializace: *Dovednost* (0.68); r487 Specialista (0.60)</t>
        </is>
      </c>
      <c r="H68" s="10" t="inlineStr">
        <is>
          <t>Accept</t>
        </is>
      </c>
      <c r="I68" s="10" t="n"/>
      <c r="J68" s="10" t="n"/>
      <c r="K68" s="10" t="n"/>
      <c r="L68" s="11" t="n"/>
      <c r="M68" s="11" t="n"/>
      <c r="N68" s="12">
        <f>IF(H68="Accept",D68,IF(H68="Use row",I68,""))</f>
        <v/>
      </c>
      <c r="O68" s="12">
        <f>IF(H68="Manual",IF(J68="","",J68),IF(N68="","",IFERROR(INDEX('Book rows'!$D$2:$D$392,MATCH(N68,'Book rows'!$A$2:$A$392,0)),"row not found")))</f>
        <v/>
      </c>
      <c r="P68" s="12">
        <f>IF(H68="Manual",IF(K68="","",K68),IF(N68="","",IFERROR(INDEX('Book rows'!$E$2:$E$392,MATCH(N68,'Book rows'!$A$2:$A$392,0)),"row not found")))</f>
        <v/>
      </c>
      <c r="Q68" s="13">
        <f>IF(H68="Manual",IF(L68="","",L68),IF(N68="","",IFERROR(INDEX('Book rows'!$F$2:$F$392,MATCH(N68,'Book rows'!$A$2:$A$392,0)),"row not found")))</f>
        <v/>
      </c>
    </row>
    <row r="69">
      <c r="A69" s="8" t="inlineStr">
        <is>
          <t>Specialization: Athletics</t>
        </is>
      </c>
      <c r="B69" s="8" t="inlineStr">
        <is>
          <t>Specializace: Atletika</t>
        </is>
      </c>
      <c r="C69" s="8" t="inlineStr">
        <is>
          <t>Features / Human features / Specialization: *Skill*</t>
        </is>
      </c>
      <c r="D69" s="8" t="n">
        <v>469</v>
      </c>
      <c r="E69" s="8" t="inlineStr">
        <is>
          <t>Specializace: *Dovednost*</t>
        </is>
      </c>
      <c r="F69" s="9" t="inlineStr">
        <is>
          <t>Family rule: Human specialization (book prices every skill alike)</t>
        </is>
      </c>
      <c r="G69" s="9" t="inlineStr">
        <is>
          <t>r146 Specializace na zbraň I (0.68); r148 Specializace na zbraň II (0.67); r525 Specializace: *Dovednost* (0.65); r752 Specializace: *Dovednost* (0.65); r487 Specialista (0.56)</t>
        </is>
      </c>
      <c r="H69" s="10" t="inlineStr">
        <is>
          <t>Accept</t>
        </is>
      </c>
      <c r="I69" s="10" t="n"/>
      <c r="J69" s="10" t="n"/>
      <c r="K69" s="10" t="n"/>
      <c r="L69" s="11" t="n"/>
      <c r="M69" s="11" t="n"/>
      <c r="N69" s="12">
        <f>IF(H69="Accept",D69,IF(H69="Use row",I69,""))</f>
        <v/>
      </c>
      <c r="O69" s="12">
        <f>IF(H69="Manual",IF(J69="","",J69),IF(N69="","",IFERROR(INDEX('Book rows'!$D$2:$D$392,MATCH(N69,'Book rows'!$A$2:$A$392,0)),"row not found")))</f>
        <v/>
      </c>
      <c r="P69" s="12">
        <f>IF(H69="Manual",IF(K69="","",K69),IF(N69="","",IFERROR(INDEX('Book rows'!$E$2:$E$392,MATCH(N69,'Book rows'!$A$2:$A$392,0)),"row not found")))</f>
        <v/>
      </c>
      <c r="Q69" s="13">
        <f>IF(H69="Manual",IF(L69="","",L69),IF(N69="","",IFERROR(INDEX('Book rows'!$F$2:$F$392,MATCH(N69,'Book rows'!$A$2:$A$392,0)),"row not found")))</f>
        <v/>
      </c>
    </row>
    <row r="70">
      <c r="A70" s="8" t="inlineStr">
        <is>
          <t>Specialization: Deception</t>
        </is>
      </c>
      <c r="B70" s="8" t="inlineStr">
        <is>
          <t>Specializace: Klamání</t>
        </is>
      </c>
      <c r="C70" s="8" t="inlineStr">
        <is>
          <t>Features / Human features / Specialization: *Skill*</t>
        </is>
      </c>
      <c r="D70" s="8" t="n">
        <v>469</v>
      </c>
      <c r="E70" s="8" t="inlineStr">
        <is>
          <t>Specializace: *Dovednost*</t>
        </is>
      </c>
      <c r="F70" s="9" t="inlineStr">
        <is>
          <t>Family rule: Human specialization (book prices every skill alike)</t>
        </is>
      </c>
      <c r="G70" s="9" t="inlineStr">
        <is>
          <t>r146 Specializace na zbraň I (0.79); r148 Specializace na zbraň II (0.77); r525 Specializace: *Dovednost* (0.67); r752 Specializace: *Dovednost* (0.67); r487 Specialista (0.58)</t>
        </is>
      </c>
      <c r="H70" s="10" t="inlineStr">
        <is>
          <t>Accept</t>
        </is>
      </c>
      <c r="I70" s="10" t="n"/>
      <c r="J70" s="10" t="n"/>
      <c r="K70" s="10" t="n"/>
      <c r="L70" s="11" t="n"/>
      <c r="M70" s="11" t="n"/>
      <c r="N70" s="12">
        <f>IF(H70="Accept",D70,IF(H70="Use row",I70,""))</f>
        <v/>
      </c>
      <c r="O70" s="12">
        <f>IF(H70="Manual",IF(J70="","",J70),IF(N70="","",IFERROR(INDEX('Book rows'!$D$2:$D$392,MATCH(N70,'Book rows'!$A$2:$A$392,0)),"row not found")))</f>
        <v/>
      </c>
      <c r="P70" s="12">
        <f>IF(H70="Manual",IF(K70="","",K70),IF(N70="","",IFERROR(INDEX('Book rows'!$E$2:$E$392,MATCH(N70,'Book rows'!$A$2:$A$392,0)),"row not found")))</f>
        <v/>
      </c>
      <c r="Q70" s="13">
        <f>IF(H70="Manual",IF(L70="","",L70),IF(N70="","",IFERROR(INDEX('Book rows'!$F$2:$F$392,MATCH(N70,'Book rows'!$A$2:$A$392,0)),"row not found")))</f>
        <v/>
      </c>
    </row>
    <row r="71">
      <c r="A71" s="8" t="inlineStr">
        <is>
          <t>Specialization: First Aid</t>
        </is>
      </c>
      <c r="B71" s="8" t="inlineStr">
        <is>
          <t>Specializace: Ranhojičství</t>
        </is>
      </c>
      <c r="C71" s="8" t="inlineStr">
        <is>
          <t>Features / Human features / Specialization: *Skill*</t>
        </is>
      </c>
      <c r="D71" s="8" t="n">
        <v>469</v>
      </c>
      <c r="E71" s="8" t="inlineStr">
        <is>
          <t>Specializace: *Dovednost*</t>
        </is>
      </c>
      <c r="F71" s="9" t="inlineStr">
        <is>
          <t>Family rule: Human specialization (book prices every skill alike)</t>
        </is>
      </c>
      <c r="G71" s="9" t="inlineStr">
        <is>
          <t>r148 Specializace na zbraň II (0.73); r525 Specializace: *Dovednost* (0.72); r752 Specializace: *Dovednost* (0.72); r146 Specializace na zbraň I (0.71); r608 Pulčická zákeřnost (0.56)</t>
        </is>
      </c>
      <c r="H71" s="10" t="inlineStr">
        <is>
          <t>Accept</t>
        </is>
      </c>
      <c r="I71" s="10" t="n"/>
      <c r="J71" s="10" t="n"/>
      <c r="K71" s="10" t="n"/>
      <c r="L71" s="11" t="n"/>
      <c r="M71" s="11" t="n"/>
      <c r="N71" s="12">
        <f>IF(H71="Accept",D71,IF(H71="Use row",I71,""))</f>
        <v/>
      </c>
      <c r="O71" s="12">
        <f>IF(H71="Manual",IF(J71="","",J71),IF(N71="","",IFERROR(INDEX('Book rows'!$D$2:$D$392,MATCH(N71,'Book rows'!$A$2:$A$392,0)),"row not found")))</f>
        <v/>
      </c>
      <c r="P71" s="12">
        <f>IF(H71="Manual",IF(K71="","",K71),IF(N71="","",IFERROR(INDEX('Book rows'!$E$2:$E$392,MATCH(N71,'Book rows'!$A$2:$A$392,0)),"row not found")))</f>
        <v/>
      </c>
      <c r="Q71" s="13">
        <f>IF(H71="Manual",IF(L71="","",L71),IF(N71="","",IFERROR(INDEX('Book rows'!$F$2:$F$392,MATCH(N71,'Book rows'!$A$2:$A$392,0)),"row not found")))</f>
        <v/>
      </c>
    </row>
    <row r="72">
      <c r="A72" s="8" t="inlineStr">
        <is>
          <t>Specialization: Herbalism</t>
        </is>
      </c>
      <c r="B72" s="8" t="inlineStr">
        <is>
          <t>Specializace: Bylinkářství</t>
        </is>
      </c>
      <c r="C72" s="8" t="inlineStr">
        <is>
          <t>Features / Human features / Specialization: *Skill*</t>
        </is>
      </c>
      <c r="D72" s="8" t="n">
        <v>469</v>
      </c>
      <c r="E72" s="8" t="inlineStr">
        <is>
          <t>Specializace: *Dovednost*</t>
        </is>
      </c>
      <c r="F72" s="9" t="inlineStr">
        <is>
          <t>Family rule: Human specialization (book prices every skill alike)</t>
        </is>
      </c>
      <c r="G72" s="9" t="inlineStr">
        <is>
          <t>r525 Specializace: *Dovednost* (0.68); r752 Specializace: *Dovednost* (0.68); r148 Specializace na zbraň II (0.65); r146 Specializace na zbraň I (0.62); r487 Specialista (0.56)</t>
        </is>
      </c>
      <c r="H72" s="10" t="inlineStr">
        <is>
          <t>Accept</t>
        </is>
      </c>
      <c r="I72" s="10" t="n"/>
      <c r="J72" s="10" t="n"/>
      <c r="K72" s="10" t="n"/>
      <c r="L72" s="11" t="n"/>
      <c r="M72" s="11" t="n"/>
      <c r="N72" s="12">
        <f>IF(H72="Accept",D72,IF(H72="Use row",I72,""))</f>
        <v/>
      </c>
      <c r="O72" s="12">
        <f>IF(H72="Manual",IF(J72="","",J72),IF(N72="","",IFERROR(INDEX('Book rows'!$D$2:$D$392,MATCH(N72,'Book rows'!$A$2:$A$392,0)),"row not found")))</f>
        <v/>
      </c>
      <c r="P72" s="12">
        <f>IF(H72="Manual",IF(K72="","",K72),IF(N72="","",IFERROR(INDEX('Book rows'!$E$2:$E$392,MATCH(N72,'Book rows'!$A$2:$A$392,0)),"row not found")))</f>
        <v/>
      </c>
      <c r="Q72" s="13">
        <f>IF(H72="Manual",IF(L72="","",L72),IF(N72="","",IFERROR(INDEX('Book rows'!$F$2:$F$392,MATCH(N72,'Book rows'!$A$2:$A$392,0)),"row not found")))</f>
        <v/>
      </c>
    </row>
    <row r="73">
      <c r="A73" s="8" t="inlineStr">
        <is>
          <t>Specialization: Insight</t>
        </is>
      </c>
      <c r="B73" s="8" t="inlineStr">
        <is>
          <t>Specializace: Vhled</t>
        </is>
      </c>
      <c r="C73" s="8" t="inlineStr">
        <is>
          <t>Features / Human features / Specialization: *Skill*</t>
        </is>
      </c>
      <c r="D73" s="8" t="n">
        <v>469</v>
      </c>
      <c r="E73" s="8" t="inlineStr">
        <is>
          <t>Specializace: *Dovednost*</t>
        </is>
      </c>
      <c r="F73" s="9" t="inlineStr">
        <is>
          <t>Family rule: Human specialization (book prices every skill alike)</t>
        </is>
      </c>
      <c r="G73" s="9" t="inlineStr">
        <is>
          <t>r525 Specializace: *Dovednost* (0.80); r752 Specializace: *Dovednost* (0.80); r146 Specializace na zbraň I (0.63); r487 Specialista (0.62); r148 Specializace na zbraň II (0.62)</t>
        </is>
      </c>
      <c r="H73" s="10" t="inlineStr">
        <is>
          <t>Accept</t>
        </is>
      </c>
      <c r="I73" s="10" t="n"/>
      <c r="J73" s="10" t="n"/>
      <c r="K73" s="10" t="n"/>
      <c r="L73" s="11" t="n"/>
      <c r="M73" s="11" t="n"/>
      <c r="N73" s="12">
        <f>IF(H73="Accept",D73,IF(H73="Use row",I73,""))</f>
        <v/>
      </c>
      <c r="O73" s="12">
        <f>IF(H73="Manual",IF(J73="","",J73),IF(N73="","",IFERROR(INDEX('Book rows'!$D$2:$D$392,MATCH(N73,'Book rows'!$A$2:$A$392,0)),"row not found")))</f>
        <v/>
      </c>
      <c r="P73" s="12">
        <f>IF(H73="Manual",IF(K73="","",K73),IF(N73="","",IFERROR(INDEX('Book rows'!$E$2:$E$392,MATCH(N73,'Book rows'!$A$2:$A$392,0)),"row not found")))</f>
        <v/>
      </c>
      <c r="Q73" s="13">
        <f>IF(H73="Manual",IF(L73="","",L73),IF(N73="","",IFERROR(INDEX('Book rows'!$F$2:$F$392,MATCH(N73,'Book rows'!$A$2:$A$392,0)),"row not found")))</f>
        <v/>
      </c>
    </row>
    <row r="74">
      <c r="A74" s="8" t="inlineStr">
        <is>
          <t>Specialization: Intimidation</t>
        </is>
      </c>
      <c r="B74" s="8" t="inlineStr">
        <is>
          <t>Specializace: Zastrašování</t>
        </is>
      </c>
      <c r="C74" s="8" t="inlineStr">
        <is>
          <t>Features / Human features / Specialization: *Skill*</t>
        </is>
      </c>
      <c r="D74" s="8" t="n">
        <v>469</v>
      </c>
      <c r="E74" s="8" t="inlineStr">
        <is>
          <t>Specializace: *Dovednost*</t>
        </is>
      </c>
      <c r="F74" s="9" t="inlineStr">
        <is>
          <t>Family rule: Human specialization (book prices every skill alike)</t>
        </is>
      </c>
      <c r="G74" s="9" t="inlineStr">
        <is>
          <t>r146 Specializace na zbraň I (0.75); r148 Specializace na zbraň II (0.73); r525 Specializace: *Dovednost* (0.64); r752 Specializace: *Dovednost* (0.64); r487 Specialista (0.61)</t>
        </is>
      </c>
      <c r="H74" s="10" t="inlineStr">
        <is>
          <t>Accept</t>
        </is>
      </c>
      <c r="I74" s="10" t="n"/>
      <c r="J74" s="10" t="n"/>
      <c r="K74" s="10" t="n"/>
      <c r="L74" s="11" t="n"/>
      <c r="M74" s="11" t="n"/>
      <c r="N74" s="12">
        <f>IF(H74="Accept",D74,IF(H74="Use row",I74,""))</f>
        <v/>
      </c>
      <c r="O74" s="12">
        <f>IF(H74="Manual",IF(J74="","",J74),IF(N74="","",IFERROR(INDEX('Book rows'!$D$2:$D$392,MATCH(N74,'Book rows'!$A$2:$A$392,0)),"row not found")))</f>
        <v/>
      </c>
      <c r="P74" s="12">
        <f>IF(H74="Manual",IF(K74="","",K74),IF(N74="","",IFERROR(INDEX('Book rows'!$E$2:$E$392,MATCH(N74,'Book rows'!$A$2:$A$392,0)),"row not found")))</f>
        <v/>
      </c>
      <c r="Q74" s="13">
        <f>IF(H74="Manual",IF(L74="","",L74),IF(N74="","",IFERROR(INDEX('Book rows'!$F$2:$F$392,MATCH(N74,'Book rows'!$A$2:$A$392,0)),"row not found")))</f>
        <v/>
      </c>
    </row>
    <row r="75">
      <c r="A75" s="8" t="inlineStr">
        <is>
          <t>Specialization: Leadership</t>
        </is>
      </c>
      <c r="B75" s="8" t="inlineStr">
        <is>
          <t>Specializace: Velení</t>
        </is>
      </c>
      <c r="C75" s="8" t="inlineStr">
        <is>
          <t>Features / Human features / Specialization: *Skill*</t>
        </is>
      </c>
      <c r="D75" s="8" t="n">
        <v>469</v>
      </c>
      <c r="E75" s="8" t="inlineStr">
        <is>
          <t>Specializace: *Dovednost*</t>
        </is>
      </c>
      <c r="F75" s="9" t="inlineStr">
        <is>
          <t>Family rule: Human specialization (book prices every skill alike)</t>
        </is>
      </c>
      <c r="G75" s="9" t="inlineStr">
        <is>
          <t>r525 Specializace: *Dovednost* (0.78); r752 Specializace: *Dovednost* (0.78); r146 Specializace na zbraň I (0.71); r148 Specializace na zbraň II (0.70); r487 Specialista (0.60)</t>
        </is>
      </c>
      <c r="H75" s="10" t="inlineStr">
        <is>
          <t>Accept</t>
        </is>
      </c>
      <c r="I75" s="10" t="n"/>
      <c r="J75" s="10" t="n"/>
      <c r="K75" s="10" t="n"/>
      <c r="L75" s="11" t="n"/>
      <c r="M75" s="11" t="n"/>
      <c r="N75" s="12">
        <f>IF(H75="Accept",D75,IF(H75="Use row",I75,""))</f>
        <v/>
      </c>
      <c r="O75" s="12">
        <f>IF(H75="Manual",IF(J75="","",J75),IF(N75="","",IFERROR(INDEX('Book rows'!$D$2:$D$392,MATCH(N75,'Book rows'!$A$2:$A$392,0)),"row not found")))</f>
        <v/>
      </c>
      <c r="P75" s="12">
        <f>IF(H75="Manual",IF(K75="","",K75),IF(N75="","",IFERROR(INDEX('Book rows'!$E$2:$E$392,MATCH(N75,'Book rows'!$A$2:$A$392,0)),"row not found")))</f>
        <v/>
      </c>
      <c r="Q75" s="13">
        <f>IF(H75="Manual",IF(L75="","",L75),IF(N75="","",IFERROR(INDEX('Book rows'!$F$2:$F$392,MATCH(N75,'Book rows'!$A$2:$A$392,0)),"row not found")))</f>
        <v/>
      </c>
    </row>
    <row r="76">
      <c r="A76" s="8" t="inlineStr">
        <is>
          <t>Specialization: Lockpicking</t>
        </is>
      </c>
      <c r="B76" s="8" t="inlineStr">
        <is>
          <t>Specializace: Odemykání zámků</t>
        </is>
      </c>
      <c r="C76" s="8" t="inlineStr">
        <is>
          <t>Features / Human features / Specialization: *Skill*</t>
        </is>
      </c>
      <c r="D76" s="8" t="n">
        <v>469</v>
      </c>
      <c r="E76" s="8" t="inlineStr">
        <is>
          <t>Specializace: *Dovednost*</t>
        </is>
      </c>
      <c r="F76" s="9" t="inlineStr">
        <is>
          <t>Family rule: Human specialization (book prices every skill alike)</t>
        </is>
      </c>
      <c r="G76" s="9" t="inlineStr">
        <is>
          <t>r525 Specializace: *Dovednost* (0.64); r752 Specializace: *Dovednost* (0.64); r146 Specializace na zbraň I (0.63); r148 Specializace na zbraň II (0.62); r487 Specialista (0.46)</t>
        </is>
      </c>
      <c r="H76" s="10" t="inlineStr">
        <is>
          <t>Accept</t>
        </is>
      </c>
      <c r="I76" s="10" t="n"/>
      <c r="J76" s="10" t="n"/>
      <c r="K76" s="10" t="n"/>
      <c r="L76" s="11" t="n"/>
      <c r="M76" s="11" t="n"/>
      <c r="N76" s="12">
        <f>IF(H76="Accept",D76,IF(H76="Use row",I76,""))</f>
        <v/>
      </c>
      <c r="O76" s="12">
        <f>IF(H76="Manual",IF(J76="","",J76),IF(N76="","",IFERROR(INDEX('Book rows'!$D$2:$D$392,MATCH(N76,'Book rows'!$A$2:$A$392,0)),"row not found")))</f>
        <v/>
      </c>
      <c r="P76" s="12">
        <f>IF(H76="Manual",IF(K76="","",K76),IF(N76="","",IFERROR(INDEX('Book rows'!$E$2:$E$392,MATCH(N76,'Book rows'!$A$2:$A$392,0)),"row not found")))</f>
        <v/>
      </c>
      <c r="Q76" s="13">
        <f>IF(H76="Manual",IF(L76="","",L76),IF(N76="","",IFERROR(INDEX('Book rows'!$F$2:$F$392,MATCH(N76,'Book rows'!$A$2:$A$392,0)),"row not found")))</f>
        <v/>
      </c>
    </row>
    <row r="77">
      <c r="A77" s="8" t="inlineStr">
        <is>
          <t>Specialization: Persuasion</t>
        </is>
      </c>
      <c r="B77" s="8" t="inlineStr">
        <is>
          <t>Specializace: Přesvědčování</t>
        </is>
      </c>
      <c r="C77" s="8" t="inlineStr">
        <is>
          <t>Features / Human features / Specialization: *Skill*</t>
        </is>
      </c>
      <c r="D77" s="8" t="n">
        <v>469</v>
      </c>
      <c r="E77" s="8" t="inlineStr">
        <is>
          <t>Specializace: *Dovednost*</t>
        </is>
      </c>
      <c r="F77" s="9" t="inlineStr">
        <is>
          <t>Family rule: Human specialization (book prices every skill alike)</t>
        </is>
      </c>
      <c r="G77" s="9" t="inlineStr">
        <is>
          <t>r525 Specializace: *Dovednost* (0.71); r752 Specializace: *Dovednost* (0.71); r146 Specializace na zbraň I (0.69); r148 Specializace na zbraň II (0.68); r487 Specialista (0.49)</t>
        </is>
      </c>
      <c r="H77" s="10" t="inlineStr">
        <is>
          <t>Accept</t>
        </is>
      </c>
      <c r="I77" s="10" t="n"/>
      <c r="J77" s="10" t="n"/>
      <c r="K77" s="10" t="n"/>
      <c r="L77" s="11" t="n"/>
      <c r="M77" s="11" t="n"/>
      <c r="N77" s="12">
        <f>IF(H77="Accept",D77,IF(H77="Use row",I77,""))</f>
        <v/>
      </c>
      <c r="O77" s="12">
        <f>IF(H77="Manual",IF(J77="","",J77),IF(N77="","",IFERROR(INDEX('Book rows'!$D$2:$D$392,MATCH(N77,'Book rows'!$A$2:$A$392,0)),"row not found")))</f>
        <v/>
      </c>
      <c r="P77" s="12">
        <f>IF(H77="Manual",IF(K77="","",K77),IF(N77="","",IFERROR(INDEX('Book rows'!$E$2:$E$392,MATCH(N77,'Book rows'!$A$2:$A$392,0)),"row not found")))</f>
        <v/>
      </c>
      <c r="Q77" s="13">
        <f>IF(H77="Manual",IF(L77="","",L77),IF(N77="","",IFERROR(INDEX('Book rows'!$F$2:$F$392,MATCH(N77,'Book rows'!$A$2:$A$392,0)),"row not found")))</f>
        <v/>
      </c>
    </row>
    <row r="78">
      <c r="A78" s="8" t="inlineStr">
        <is>
          <t>Specialization: Pickpocketing</t>
        </is>
      </c>
      <c r="B78" s="8" t="inlineStr">
        <is>
          <t>Specializace: Kapsářství</t>
        </is>
      </c>
      <c r="C78" s="8" t="inlineStr">
        <is>
          <t>Features / Human features / Specialization: *Skill*</t>
        </is>
      </c>
      <c r="D78" s="8" t="n">
        <v>469</v>
      </c>
      <c r="E78" s="8" t="inlineStr">
        <is>
          <t>Specializace: *Dovednost*</t>
        </is>
      </c>
      <c r="F78" s="9" t="inlineStr">
        <is>
          <t>Family rule: Human specialization (book prices every skill alike)</t>
        </is>
      </c>
      <c r="G78" s="9" t="inlineStr">
        <is>
          <t>r146 Specializace na zbraň I (0.70); r148 Specializace na zbraň II (0.68); r525 Specializace: *Dovednost* (0.67); r752 Specializace: *Dovednost* (0.67); r487 Specialista (0.59)</t>
        </is>
      </c>
      <c r="H78" s="10" t="inlineStr">
        <is>
          <t>Accept</t>
        </is>
      </c>
      <c r="I78" s="10" t="n"/>
      <c r="J78" s="10" t="n"/>
      <c r="K78" s="10" t="n"/>
      <c r="L78" s="11" t="n"/>
      <c r="M78" s="11" t="n"/>
      <c r="N78" s="12">
        <f>IF(H78="Accept",D78,IF(H78="Use row",I78,""))</f>
        <v/>
      </c>
      <c r="O78" s="12">
        <f>IF(H78="Manual",IF(J78="","",J78),IF(N78="","",IFERROR(INDEX('Book rows'!$D$2:$D$392,MATCH(N78,'Book rows'!$A$2:$A$392,0)),"row not found")))</f>
        <v/>
      </c>
      <c r="P78" s="12">
        <f>IF(H78="Manual",IF(K78="","",K78),IF(N78="","",IFERROR(INDEX('Book rows'!$E$2:$E$392,MATCH(N78,'Book rows'!$A$2:$A$392,0)),"row not found")))</f>
        <v/>
      </c>
      <c r="Q78" s="13">
        <f>IF(H78="Manual",IF(L78="","",L78),IF(N78="","",IFERROR(INDEX('Book rows'!$F$2:$F$392,MATCH(N78,'Book rows'!$A$2:$A$392,0)),"row not found")))</f>
        <v/>
      </c>
    </row>
    <row r="79">
      <c r="A79" s="8" t="inlineStr">
        <is>
          <t>Specialization: Stealth</t>
        </is>
      </c>
      <c r="B79" s="8" t="inlineStr">
        <is>
          <t>Specializace: Plížení</t>
        </is>
      </c>
      <c r="C79" s="8" t="inlineStr">
        <is>
          <t>Features / Human features / Specialization: *Skill*</t>
        </is>
      </c>
      <c r="D79" s="8" t="n">
        <v>469</v>
      </c>
      <c r="E79" s="8" t="inlineStr">
        <is>
          <t>Specializace: *Dovednost*</t>
        </is>
      </c>
      <c r="F79" s="9" t="inlineStr">
        <is>
          <t>Family rule: Human specialization (book prices every skill alike)</t>
        </is>
      </c>
      <c r="G79" s="9" t="inlineStr">
        <is>
          <t>r525 Specializace: *Dovednost* (0.71); r752 Specializace: *Dovednost* (0.71); r148 Specializace na zbraň II (0.68); r146 Specializace na zbraň I (0.65); r487 Specialista (0.58)</t>
        </is>
      </c>
      <c r="H79" s="10" t="inlineStr">
        <is>
          <t>Accept</t>
        </is>
      </c>
      <c r="I79" s="10" t="n"/>
      <c r="J79" s="10" t="n"/>
      <c r="K79" s="10" t="n"/>
      <c r="L79" s="11" t="n"/>
      <c r="M79" s="11" t="n"/>
      <c r="N79" s="12">
        <f>IF(H79="Accept",D79,IF(H79="Use row",I79,""))</f>
        <v/>
      </c>
      <c r="O79" s="12">
        <f>IF(H79="Manual",IF(J79="","",J79),IF(N79="","",IFERROR(INDEX('Book rows'!$D$2:$D$392,MATCH(N79,'Book rows'!$A$2:$A$392,0)),"row not found")))</f>
        <v/>
      </c>
      <c r="P79" s="12">
        <f>IF(H79="Manual",IF(K79="","",K79),IF(N79="","",IFERROR(INDEX('Book rows'!$E$2:$E$392,MATCH(N79,'Book rows'!$A$2:$A$392,0)),"row not found")))</f>
        <v/>
      </c>
      <c r="Q79" s="13">
        <f>IF(H79="Manual",IF(L79="","",L79),IF(N79="","",IFERROR(INDEX('Book rows'!$F$2:$F$392,MATCH(N79,'Book rows'!$A$2:$A$392,0)),"row not found")))</f>
        <v/>
      </c>
    </row>
    <row r="80">
      <c r="A80" s="8" t="inlineStr">
        <is>
          <t>Specialization: Survival</t>
        </is>
      </c>
      <c r="B80" s="8" t="inlineStr">
        <is>
          <t>Specializace: Přežití</t>
        </is>
      </c>
      <c r="C80" s="8" t="inlineStr">
        <is>
          <t>Features / Human features / Specialization: *Skill*</t>
        </is>
      </c>
      <c r="D80" s="8" t="n">
        <v>469</v>
      </c>
      <c r="E80" s="8" t="inlineStr">
        <is>
          <t>Specializace: *Dovednost*</t>
        </is>
      </c>
      <c r="F80" s="9" t="inlineStr">
        <is>
          <t>Family rule: Human specialization (book prices every skill alike)</t>
        </is>
      </c>
      <c r="G80" s="9" t="inlineStr">
        <is>
          <t>r148 Specializace na zbraň II (0.73); r525 Specializace: *Dovednost* (0.71); r752 Specializace: *Dovednost* (0.71); r146 Specializace na zbraň I (0.70); r487 Specialista (0.58)</t>
        </is>
      </c>
      <c r="H80" s="10" t="inlineStr">
        <is>
          <t>Accept</t>
        </is>
      </c>
      <c r="I80" s="10" t="n"/>
      <c r="J80" s="10" t="n"/>
      <c r="K80" s="10" t="n"/>
      <c r="L80" s="11" t="n"/>
      <c r="M80" s="11" t="n"/>
      <c r="N80" s="12">
        <f>IF(H80="Accept",D80,IF(H80="Use row",I80,""))</f>
        <v/>
      </c>
      <c r="O80" s="12">
        <f>IF(H80="Manual",IF(J80="","",J80),IF(N80="","",IFERROR(INDEX('Book rows'!$D$2:$D$392,MATCH(N80,'Book rows'!$A$2:$A$392,0)),"row not found")))</f>
        <v/>
      </c>
      <c r="P80" s="12">
        <f>IF(H80="Manual",IF(K80="","",K80),IF(N80="","",IFERROR(INDEX('Book rows'!$E$2:$E$392,MATCH(N80,'Book rows'!$A$2:$A$392,0)),"row not found")))</f>
        <v/>
      </c>
      <c r="Q80" s="13">
        <f>IF(H80="Manual",IF(L80="","",L80),IF(N80="","",IFERROR(INDEX('Book rows'!$F$2:$F$392,MATCH(N80,'Book rows'!$A$2:$A$392,0)),"row not found")))</f>
        <v/>
      </c>
    </row>
    <row r="81">
      <c r="A81" s="8" t="inlineStr">
        <is>
          <t>Specialization: Temptation</t>
        </is>
      </c>
      <c r="B81" s="8" t="inlineStr">
        <is>
          <t>Specializace: Pokoušení</t>
        </is>
      </c>
      <c r="C81" s="8" t="inlineStr">
        <is>
          <t>Features / Human features / Specialization: *Skill*</t>
        </is>
      </c>
      <c r="D81" s="8" t="n">
        <v>469</v>
      </c>
      <c r="E81" s="8" t="inlineStr">
        <is>
          <t>Specializace: *Dovednost*</t>
        </is>
      </c>
      <c r="F81" s="9" t="inlineStr">
        <is>
          <t>Family rule: Human specialization (book prices every skill alike)</t>
        </is>
      </c>
      <c r="G81" s="9" t="inlineStr">
        <is>
          <t>r525 Specializace: *Dovednost* (0.73); r752 Specializace: *Dovednost* (0.73); r146 Specializace na zbraň I (0.67); r148 Specializace na zbraň II (0.65); r581 Temné pokušení (0.61)</t>
        </is>
      </c>
      <c r="H81" s="10" t="inlineStr">
        <is>
          <t>Accept</t>
        </is>
      </c>
      <c r="I81" s="10" t="n"/>
      <c r="J81" s="10" t="n"/>
      <c r="K81" s="10" t="n"/>
      <c r="L81" s="11" t="n"/>
      <c r="M81" s="11" t="n"/>
      <c r="N81" s="12">
        <f>IF(H81="Accept",D81,IF(H81="Use row",I81,""))</f>
        <v/>
      </c>
      <c r="O81" s="12">
        <f>IF(H81="Manual",IF(J81="","",J81),IF(N81="","",IFERROR(INDEX('Book rows'!$D$2:$D$392,MATCH(N81,'Book rows'!$A$2:$A$392,0)),"row not found")))</f>
        <v/>
      </c>
      <c r="P81" s="12">
        <f>IF(H81="Manual",IF(K81="","",K81),IF(N81="","",IFERROR(INDEX('Book rows'!$E$2:$E$392,MATCH(N81,'Book rows'!$A$2:$A$392,0)),"row not found")))</f>
        <v/>
      </c>
      <c r="Q81" s="13">
        <f>IF(H81="Manual",IF(L81="","",L81),IF(N81="","",IFERROR(INDEX('Book rows'!$F$2:$F$392,MATCH(N81,'Book rows'!$A$2:$A$392,0)),"row not found")))</f>
        <v/>
      </c>
    </row>
    <row r="82">
      <c r="A82" s="8" t="inlineStr">
        <is>
          <t>Specialization: Traps</t>
        </is>
      </c>
      <c r="B82" s="8" t="inlineStr">
        <is>
          <t>Specializace: Pasti</t>
        </is>
      </c>
      <c r="C82" s="8" t="inlineStr">
        <is>
          <t>Features / Human features / Specialization: *Skill*</t>
        </is>
      </c>
      <c r="D82" s="8" t="n">
        <v>469</v>
      </c>
      <c r="E82" s="8" t="inlineStr">
        <is>
          <t>Specializace: *Dovednost*</t>
        </is>
      </c>
      <c r="F82" s="9" t="inlineStr">
        <is>
          <t>Family rule: Human specialization (book prices every skill alike)</t>
        </is>
      </c>
      <c r="G82" s="9" t="inlineStr">
        <is>
          <t>r525 Specializace: *Dovednost* (0.75); r752 Specializace: *Dovednost* (0.75); r146 Specializace na zbraň I (0.73); r148 Specializace na zbraň II (0.71); r487 Specialista (0.69)</t>
        </is>
      </c>
      <c r="H82" s="10" t="inlineStr">
        <is>
          <t>Accept</t>
        </is>
      </c>
      <c r="I82" s="10" t="n"/>
      <c r="J82" s="10" t="n"/>
      <c r="K82" s="10" t="n"/>
      <c r="L82" s="11" t="n"/>
      <c r="M82" s="11" t="n"/>
      <c r="N82" s="12">
        <f>IF(H82="Accept",D82,IF(H82="Use row",I82,""))</f>
        <v/>
      </c>
      <c r="O82" s="12">
        <f>IF(H82="Manual",IF(J82="","",J82),IF(N82="","",IFERROR(INDEX('Book rows'!$D$2:$D$392,MATCH(N82,'Book rows'!$A$2:$A$392,0)),"row not found")))</f>
        <v/>
      </c>
      <c r="P82" s="12">
        <f>IF(H82="Manual",IF(K82="","",K82),IF(N82="","",IFERROR(INDEX('Book rows'!$E$2:$E$392,MATCH(N82,'Book rows'!$A$2:$A$392,0)),"row not found")))</f>
        <v/>
      </c>
      <c r="Q82" s="13">
        <f>IF(H82="Manual",IF(L82="","",L82),IF(N82="","",IFERROR(INDEX('Book rows'!$F$2:$F$392,MATCH(N82,'Book rows'!$A$2:$A$392,0)),"row not found")))</f>
        <v/>
      </c>
    </row>
    <row r="83">
      <c r="A83" s="8" t="inlineStr">
        <is>
          <t>Talented I: Arcana</t>
        </is>
      </c>
      <c r="B83" s="8" t="inlineStr">
        <is>
          <t>Talentovaný I: Arcana</t>
        </is>
      </c>
      <c r="C83" s="8" t="inlineStr">
        <is>
          <t>Features / Human features / Talented</t>
        </is>
      </c>
      <c r="D83" s="8" t="n">
        <v>479</v>
      </c>
      <c r="E83" s="8" t="inlineStr">
        <is>
          <t>Talentovaný I</t>
        </is>
      </c>
      <c r="F83" s="9" t="inlineStr">
        <is>
          <t>Family rule: Talented I (book prices every skill alike)</t>
        </is>
      </c>
      <c r="G83" s="9" t="inlineStr">
        <is>
          <t>r481 Talentovaný II (0.76); r483 Talentovaný III (0.74); r112 Brutální rána (0.61); r817 Válečný štváč (0.48)</t>
        </is>
      </c>
      <c r="H83" s="10" t="inlineStr">
        <is>
          <t>Accept</t>
        </is>
      </c>
      <c r="I83" s="10" t="n"/>
      <c r="J83" s="10" t="n"/>
      <c r="K83" s="10" t="n"/>
      <c r="L83" s="11" t="n"/>
      <c r="M83" s="11" t="n"/>
      <c r="N83" s="12">
        <f>IF(H83="Accept",D83,IF(H83="Use row",I83,""))</f>
        <v/>
      </c>
      <c r="O83" s="12">
        <f>IF(H83="Manual",IF(J83="","",J83),IF(N83="","",IFERROR(INDEX('Book rows'!$D$2:$D$392,MATCH(N83,'Book rows'!$A$2:$A$392,0)),"row not found")))</f>
        <v/>
      </c>
      <c r="P83" s="12">
        <f>IF(H83="Manual",IF(K83="","",K83),IF(N83="","",IFERROR(INDEX('Book rows'!$E$2:$E$392,MATCH(N83,'Book rows'!$A$2:$A$392,0)),"row not found")))</f>
        <v/>
      </c>
      <c r="Q83" s="13">
        <f>IF(H83="Manual",IF(L83="","",L83),IF(N83="","",IFERROR(INDEX('Book rows'!$F$2:$F$392,MATCH(N83,'Book rows'!$A$2:$A$392,0)),"row not found")))</f>
        <v/>
      </c>
    </row>
    <row r="84">
      <c r="A84" s="8" t="inlineStr">
        <is>
          <t>Talented I: Athletics</t>
        </is>
      </c>
      <c r="B84" s="8" t="inlineStr">
        <is>
          <t>Talentovaný I: Atletika</t>
        </is>
      </c>
      <c r="C84" s="8" t="inlineStr">
        <is>
          <t>Features / Human features / Talented</t>
        </is>
      </c>
      <c r="D84" s="8" t="n">
        <v>479</v>
      </c>
      <c r="E84" s="8" t="inlineStr">
        <is>
          <t>Talentovaný I</t>
        </is>
      </c>
      <c r="F84" s="9" t="inlineStr">
        <is>
          <t>Family rule: Talented I (book prices every skill alike)</t>
        </is>
      </c>
      <c r="G84" s="9" t="inlineStr">
        <is>
          <t>r481 Talentovaný II (0.78); r483 Talentovaný III (0.76); r762 Požehnaný dotek (0.49); r777 Ptačí žaludek (0.46)</t>
        </is>
      </c>
      <c r="H84" s="10" t="inlineStr">
        <is>
          <t>Accept</t>
        </is>
      </c>
      <c r="I84" s="10" t="n"/>
      <c r="J84" s="10" t="n"/>
      <c r="K84" s="10" t="n"/>
      <c r="L84" s="11" t="n"/>
      <c r="M84" s="11" t="n"/>
      <c r="N84" s="12">
        <f>IF(H84="Accept",D84,IF(H84="Use row",I84,""))</f>
        <v/>
      </c>
      <c r="O84" s="12">
        <f>IF(H84="Manual",IF(J84="","",J84),IF(N84="","",IFERROR(INDEX('Book rows'!$D$2:$D$392,MATCH(N84,'Book rows'!$A$2:$A$392,0)),"row not found")))</f>
        <v/>
      </c>
      <c r="P84" s="12">
        <f>IF(H84="Manual",IF(K84="","",K84),IF(N84="","",IFERROR(INDEX('Book rows'!$E$2:$E$392,MATCH(N84,'Book rows'!$A$2:$A$392,0)),"row not found")))</f>
        <v/>
      </c>
      <c r="Q84" s="13">
        <f>IF(H84="Manual",IF(L84="","",L84),IF(N84="","",IFERROR(INDEX('Book rows'!$F$2:$F$392,MATCH(N84,'Book rows'!$A$2:$A$392,0)),"row not found")))</f>
        <v/>
      </c>
    </row>
    <row r="85">
      <c r="A85" s="8" t="inlineStr">
        <is>
          <t>Talented I: First Aid</t>
        </is>
      </c>
      <c r="B85" s="8" t="inlineStr">
        <is>
          <t>Talentovaný I: Ranhojičství</t>
        </is>
      </c>
      <c r="C85" s="8" t="inlineStr">
        <is>
          <t>Features / Human features / Talented</t>
        </is>
      </c>
      <c r="D85" s="8" t="n">
        <v>479</v>
      </c>
      <c r="E85" s="8" t="inlineStr">
        <is>
          <t>Talentovaný I</t>
        </is>
      </c>
      <c r="F85" s="9" t="inlineStr">
        <is>
          <t>Family rule: Talented I (book prices every skill alike)</t>
        </is>
      </c>
      <c r="G85" s="9" t="inlineStr">
        <is>
          <t>r483 Talentovaný III (0.73); r481 Talentovaný II (0.70); r601 Kontrolovaný chaos (0.50); r187 Bojová připravenost (0.49)</t>
        </is>
      </c>
      <c r="H85" s="10" t="inlineStr">
        <is>
          <t>Accept</t>
        </is>
      </c>
      <c r="I85" s="10" t="n"/>
      <c r="J85" s="10" t="n"/>
      <c r="K85" s="10" t="n"/>
      <c r="L85" s="11" t="n"/>
      <c r="M85" s="11" t="n"/>
      <c r="N85" s="12">
        <f>IF(H85="Accept",D85,IF(H85="Use row",I85,""))</f>
        <v/>
      </c>
      <c r="O85" s="12">
        <f>IF(H85="Manual",IF(J85="","",J85),IF(N85="","",IFERROR(INDEX('Book rows'!$D$2:$D$392,MATCH(N85,'Book rows'!$A$2:$A$392,0)),"row not found")))</f>
        <v/>
      </c>
      <c r="P85" s="12">
        <f>IF(H85="Manual",IF(K85="","",K85),IF(N85="","",IFERROR(INDEX('Book rows'!$E$2:$E$392,MATCH(N85,'Book rows'!$A$2:$A$392,0)),"row not found")))</f>
        <v/>
      </c>
      <c r="Q85" s="13">
        <f>IF(H85="Manual",IF(L85="","",L85),IF(N85="","",IFERROR(INDEX('Book rows'!$F$2:$F$392,MATCH(N85,'Book rows'!$A$2:$A$392,0)),"row not found")))</f>
        <v/>
      </c>
    </row>
    <row r="86">
      <c r="A86" s="8" t="inlineStr">
        <is>
          <t>Talented I: Pickpocketing</t>
        </is>
      </c>
      <c r="B86" s="8" t="inlineStr">
        <is>
          <t>Talentovaný I: Kapsářství</t>
        </is>
      </c>
      <c r="C86" s="8" t="inlineStr">
        <is>
          <t>Features / Human features / Talented</t>
        </is>
      </c>
      <c r="D86" s="8" t="n">
        <v>479</v>
      </c>
      <c r="E86" s="8" t="inlineStr">
        <is>
          <t>Talentovaný I</t>
        </is>
      </c>
      <c r="F86" s="9" t="inlineStr">
        <is>
          <t>Family rule: Talented I (book prices every skill alike)</t>
        </is>
      </c>
      <c r="G86" s="9" t="inlineStr">
        <is>
          <t>r481 Talentovaný II (0.74); r483 Talentovaný III (0.72); r817 Válečný štváč (0.49); r601 Kontrolovaný chaos (0.48)</t>
        </is>
      </c>
      <c r="H86" s="10" t="inlineStr">
        <is>
          <t>Accept</t>
        </is>
      </c>
      <c r="I86" s="10" t="n"/>
      <c r="J86" s="10" t="n"/>
      <c r="K86" s="10" t="n"/>
      <c r="L86" s="11" t="n"/>
      <c r="M86" s="11" t="n"/>
      <c r="N86" s="12">
        <f>IF(H86="Accept",D86,IF(H86="Use row",I86,""))</f>
        <v/>
      </c>
      <c r="O86" s="12">
        <f>IF(H86="Manual",IF(J86="","",J86),IF(N86="","",IFERROR(INDEX('Book rows'!$D$2:$D$392,MATCH(N86,'Book rows'!$A$2:$A$392,0)),"row not found")))</f>
        <v/>
      </c>
      <c r="P86" s="12">
        <f>IF(H86="Manual",IF(K86="","",K86),IF(N86="","",IFERROR(INDEX('Book rows'!$E$2:$E$392,MATCH(N86,'Book rows'!$A$2:$A$392,0)),"row not found")))</f>
        <v/>
      </c>
      <c r="Q86" s="13">
        <f>IF(H86="Manual",IF(L86="","",L86),IF(N86="","",IFERROR(INDEX('Book rows'!$F$2:$F$392,MATCH(N86,'Book rows'!$A$2:$A$392,0)),"row not found")))</f>
        <v/>
      </c>
    </row>
    <row r="87">
      <c r="A87" s="8" t="inlineStr">
        <is>
          <t>Talented I: Stealth</t>
        </is>
      </c>
      <c r="B87" s="8" t="inlineStr">
        <is>
          <t>Talentovaný I: Plížení</t>
        </is>
      </c>
      <c r="C87" s="8" t="inlineStr">
        <is>
          <t>Features / Human features / Talented</t>
        </is>
      </c>
      <c r="D87" s="8" t="n">
        <v>479</v>
      </c>
      <c r="E87" s="8" t="inlineStr">
        <is>
          <t>Talentovaný I</t>
        </is>
      </c>
      <c r="F87" s="9" t="inlineStr">
        <is>
          <t>Family rule: Talented I (book prices every skill alike)</t>
        </is>
      </c>
      <c r="G87" s="9" t="inlineStr">
        <is>
          <t>r483 Talentovaný III (0.83); r481 Talentovaný II (0.80); r322 Doteková stabilizace (0.54); r514 Trpasličí pikenýr (0.47)</t>
        </is>
      </c>
      <c r="H87" s="10" t="inlineStr">
        <is>
          <t>Accept</t>
        </is>
      </c>
      <c r="I87" s="10" t="n"/>
      <c r="J87" s="10" t="n"/>
      <c r="K87" s="10" t="n"/>
      <c r="L87" s="11" t="n"/>
      <c r="M87" s="11" t="n"/>
      <c r="N87" s="12">
        <f>IF(H87="Accept",D87,IF(H87="Use row",I87,""))</f>
        <v/>
      </c>
      <c r="O87" s="12">
        <f>IF(H87="Manual",IF(J87="","",J87),IF(N87="","",IFERROR(INDEX('Book rows'!$D$2:$D$392,MATCH(N87,'Book rows'!$A$2:$A$392,0)),"row not found")))</f>
        <v/>
      </c>
      <c r="P87" s="12">
        <f>IF(H87="Manual",IF(K87="","",K87),IF(N87="","",IFERROR(INDEX('Book rows'!$E$2:$E$392,MATCH(N87,'Book rows'!$A$2:$A$392,0)),"row not found")))</f>
        <v/>
      </c>
      <c r="Q87" s="13">
        <f>IF(H87="Manual",IF(L87="","",L87),IF(N87="","",IFERROR(INDEX('Book rows'!$F$2:$F$392,MATCH(N87,'Book rows'!$A$2:$A$392,0)),"row not found")))</f>
        <v/>
      </c>
    </row>
    <row r="88">
      <c r="A88" s="8" t="inlineStr">
        <is>
          <t>Talented II: Acrobacy</t>
        </is>
      </c>
      <c r="B88" s="8" t="inlineStr">
        <is>
          <t>Talentovaný II: Akrobacie</t>
        </is>
      </c>
      <c r="C88" s="8" t="inlineStr">
        <is>
          <t>Features / Human features / Talented</t>
        </is>
      </c>
      <c r="D88" s="8" t="n">
        <v>481</v>
      </c>
      <c r="E88" s="8" t="inlineStr">
        <is>
          <t>Talentovaný II</t>
        </is>
      </c>
      <c r="F88" s="9" t="inlineStr">
        <is>
          <t>Family rule: Talented II (book prices every skill alike)</t>
        </is>
      </c>
      <c r="G88" s="9" t="inlineStr">
        <is>
          <t>r483 Talentovaný III (0.77); r479 Talentovaný I (0.70); r322 Doteková stabilizace (0.50); r601 Kontrolovaný chaos (0.48)</t>
        </is>
      </c>
      <c r="H88" s="10" t="inlineStr">
        <is>
          <t>Accept</t>
        </is>
      </c>
      <c r="I88" s="10" t="n"/>
      <c r="J88" s="10" t="n"/>
      <c r="K88" s="10" t="n"/>
      <c r="L88" s="11" t="n"/>
      <c r="M88" s="11" t="n"/>
      <c r="N88" s="12">
        <f>IF(H88="Accept",D88,IF(H88="Use row",I88,""))</f>
        <v/>
      </c>
      <c r="O88" s="12">
        <f>IF(H88="Manual",IF(J88="","",J88),IF(N88="","",IFERROR(INDEX('Book rows'!$D$2:$D$392,MATCH(N88,'Book rows'!$A$2:$A$392,0)),"row not found")))</f>
        <v/>
      </c>
      <c r="P88" s="12">
        <f>IF(H88="Manual",IF(K88="","",K88),IF(N88="","",IFERROR(INDEX('Book rows'!$E$2:$E$392,MATCH(N88,'Book rows'!$A$2:$A$392,0)),"row not found")))</f>
        <v/>
      </c>
      <c r="Q88" s="13">
        <f>IF(H88="Manual",IF(L88="","",L88),IF(N88="","",IFERROR(INDEX('Book rows'!$F$2:$F$392,MATCH(N88,'Book rows'!$A$2:$A$392,0)),"row not found")))</f>
        <v/>
      </c>
    </row>
    <row r="89">
      <c r="A89" s="8" t="inlineStr">
        <is>
          <t>Talented II: Alchemy</t>
        </is>
      </c>
      <c r="B89" s="8" t="inlineStr">
        <is>
          <t>Talentovaný II: Alchymie</t>
        </is>
      </c>
      <c r="C89" s="8" t="inlineStr">
        <is>
          <t>Features / Human features / Talented</t>
        </is>
      </c>
      <c r="D89" s="8" t="n">
        <v>481</v>
      </c>
      <c r="E89" s="8" t="inlineStr">
        <is>
          <t>Talentovaný II</t>
        </is>
      </c>
      <c r="F89" s="9" t="inlineStr">
        <is>
          <t>Family rule: Talented II (book prices every skill alike)</t>
        </is>
      </c>
      <c r="G89" s="9" t="inlineStr">
        <is>
          <t>r483 Talentovaný III (0.79); r479 Talentovaný I (0.72); r322 Doteková stabilizace (0.51); r601 Kontrolovaný chaos (0.49)</t>
        </is>
      </c>
      <c r="H89" s="10" t="inlineStr">
        <is>
          <t>Accept</t>
        </is>
      </c>
      <c r="I89" s="10" t="n"/>
      <c r="J89" s="10" t="n"/>
      <c r="K89" s="10" t="n"/>
      <c r="L89" s="11" t="n"/>
      <c r="M89" s="11" t="n"/>
      <c r="N89" s="12">
        <f>IF(H89="Accept",D89,IF(H89="Use row",I89,""))</f>
        <v/>
      </c>
      <c r="O89" s="12">
        <f>IF(H89="Manual",IF(J89="","",J89),IF(N89="","",IFERROR(INDEX('Book rows'!$D$2:$D$392,MATCH(N89,'Book rows'!$A$2:$A$392,0)),"row not found")))</f>
        <v/>
      </c>
      <c r="P89" s="12">
        <f>IF(H89="Manual",IF(K89="","",K89),IF(N89="","",IFERROR(INDEX('Book rows'!$E$2:$E$392,MATCH(N89,'Book rows'!$A$2:$A$392,0)),"row not found")))</f>
        <v/>
      </c>
      <c r="Q89" s="13">
        <f>IF(H89="Manual",IF(L89="","",L89),IF(N89="","",IFERROR(INDEX('Book rows'!$F$2:$F$392,MATCH(N89,'Book rows'!$A$2:$A$392,0)),"row not found")))</f>
        <v/>
      </c>
    </row>
    <row r="90">
      <c r="A90" s="8" t="inlineStr">
        <is>
          <t>Talented II: Arcana</t>
        </is>
      </c>
      <c r="B90" s="8" t="inlineStr">
        <is>
          <t>Talentovaný II: Arcana</t>
        </is>
      </c>
      <c r="C90" s="8" t="inlineStr">
        <is>
          <t>Features / Human features / Talented</t>
        </is>
      </c>
      <c r="D90" s="8" t="n">
        <v>481</v>
      </c>
      <c r="E90" s="8" t="inlineStr">
        <is>
          <t>Talentovaný II</t>
        </is>
      </c>
      <c r="F90" s="9" t="inlineStr">
        <is>
          <t>Family rule: Talented II (book prices every skill alike)</t>
        </is>
      </c>
      <c r="G90" s="9" t="inlineStr">
        <is>
          <t>r483 Talentovaný III (0.78); r479 Talentovaný I (0.76); r112 Brutální rána (0.59); r494 Trpasličí játra (0.50)</t>
        </is>
      </c>
      <c r="H90" s="10" t="inlineStr">
        <is>
          <t>Accept</t>
        </is>
      </c>
      <c r="I90" s="10" t="n"/>
      <c r="J90" s="10" t="n"/>
      <c r="K90" s="10" t="n"/>
      <c r="L90" s="11" t="n"/>
      <c r="M90" s="11" t="n"/>
      <c r="N90" s="12">
        <f>IF(H90="Accept",D90,IF(H90="Use row",I90,""))</f>
        <v/>
      </c>
      <c r="O90" s="12">
        <f>IF(H90="Manual",IF(J90="","",J90),IF(N90="","",IFERROR(INDEX('Book rows'!$D$2:$D$392,MATCH(N90,'Book rows'!$A$2:$A$392,0)),"row not found")))</f>
        <v/>
      </c>
      <c r="P90" s="12">
        <f>IF(H90="Manual",IF(K90="","",K90),IF(N90="","",IFERROR(INDEX('Book rows'!$E$2:$E$392,MATCH(N90,'Book rows'!$A$2:$A$392,0)),"row not found")))</f>
        <v/>
      </c>
      <c r="Q90" s="13">
        <f>IF(H90="Manual",IF(L90="","",L90),IF(N90="","",IFERROR(INDEX('Book rows'!$F$2:$F$392,MATCH(N90,'Book rows'!$A$2:$A$392,0)),"row not found")))</f>
        <v/>
      </c>
    </row>
    <row r="91">
      <c r="A91" s="8" t="inlineStr">
        <is>
          <t>Talented II: Athletics</t>
        </is>
      </c>
      <c r="B91" s="8" t="inlineStr">
        <is>
          <t>Talentovaný II: Atletika</t>
        </is>
      </c>
      <c r="C91" s="8" t="inlineStr">
        <is>
          <t>Features / Human features / Talented</t>
        </is>
      </c>
      <c r="D91" s="8" t="n">
        <v>481</v>
      </c>
      <c r="E91" s="8" t="inlineStr">
        <is>
          <t>Talentovaný II</t>
        </is>
      </c>
      <c r="F91" s="9" t="inlineStr">
        <is>
          <t>Family rule: Talented II (book prices every skill alike)</t>
        </is>
      </c>
      <c r="G91" s="9" t="inlineStr">
        <is>
          <t>r483 Talentovaný III (0.79); r479 Talentovaný I (0.72); r494 Trpasličí játra (0.47); r762 Požehnaný dotek (0.47)</t>
        </is>
      </c>
      <c r="H91" s="10" t="inlineStr">
        <is>
          <t>Accept</t>
        </is>
      </c>
      <c r="I91" s="10" t="n"/>
      <c r="J91" s="10" t="n"/>
      <c r="K91" s="10" t="n"/>
      <c r="L91" s="11" t="n"/>
      <c r="M91" s="11" t="n"/>
      <c r="N91" s="12">
        <f>IF(H91="Accept",D91,IF(H91="Use row",I91,""))</f>
        <v/>
      </c>
      <c r="O91" s="12">
        <f>IF(H91="Manual",IF(J91="","",J91),IF(N91="","",IFERROR(INDEX('Book rows'!$D$2:$D$392,MATCH(N91,'Book rows'!$A$2:$A$392,0)),"row not found")))</f>
        <v/>
      </c>
      <c r="P91" s="12">
        <f>IF(H91="Manual",IF(K91="","",K91),IF(N91="","",IFERROR(INDEX('Book rows'!$E$2:$E$392,MATCH(N91,'Book rows'!$A$2:$A$392,0)),"row not found")))</f>
        <v/>
      </c>
      <c r="Q91" s="13">
        <f>IF(H91="Manual",IF(L91="","",L91),IF(N91="","",IFERROR(INDEX('Book rows'!$F$2:$F$392,MATCH(N91,'Book rows'!$A$2:$A$392,0)),"row not found")))</f>
        <v/>
      </c>
    </row>
    <row r="92">
      <c r="A92" s="8" t="inlineStr">
        <is>
          <t>Talented II: First Aid</t>
        </is>
      </c>
      <c r="B92" s="8" t="inlineStr">
        <is>
          <t>Talentovaný II: Ranhojičství</t>
        </is>
      </c>
      <c r="C92" s="8" t="inlineStr">
        <is>
          <t>Features / Human features / Talented</t>
        </is>
      </c>
      <c r="D92" s="8" t="n">
        <v>481</v>
      </c>
      <c r="E92" s="8" t="inlineStr">
        <is>
          <t>Talentovaný II</t>
        </is>
      </c>
      <c r="F92" s="9" t="inlineStr">
        <is>
          <t>Family rule: Talented II (book prices every skill alike)</t>
        </is>
      </c>
      <c r="G92" s="9" t="inlineStr">
        <is>
          <t>r483 Talentovaný III (0.71); r479 Talentovaný I (0.65); r601 Kontrolovaný chaos (0.49); r187 Bojová připravenost (0.48)</t>
        </is>
      </c>
      <c r="H92" s="10" t="inlineStr">
        <is>
          <t>Accept</t>
        </is>
      </c>
      <c r="I92" s="10" t="n"/>
      <c r="J92" s="10" t="n"/>
      <c r="K92" s="10" t="n"/>
      <c r="L92" s="11" t="n"/>
      <c r="M92" s="11" t="n"/>
      <c r="N92" s="12">
        <f>IF(H92="Accept",D92,IF(H92="Use row",I92,""))</f>
        <v/>
      </c>
      <c r="O92" s="12">
        <f>IF(H92="Manual",IF(J92="","",J92),IF(N92="","",IFERROR(INDEX('Book rows'!$D$2:$D$392,MATCH(N92,'Book rows'!$A$2:$A$392,0)),"row not found")))</f>
        <v/>
      </c>
      <c r="P92" s="12">
        <f>IF(H92="Manual",IF(K92="","",K92),IF(N92="","",IFERROR(INDEX('Book rows'!$E$2:$E$392,MATCH(N92,'Book rows'!$A$2:$A$392,0)),"row not found")))</f>
        <v/>
      </c>
      <c r="Q92" s="13">
        <f>IF(H92="Manual",IF(L92="","",L92),IF(N92="","",IFERROR(INDEX('Book rows'!$F$2:$F$392,MATCH(N92,'Book rows'!$A$2:$A$392,0)),"row not found")))</f>
        <v/>
      </c>
    </row>
    <row r="93">
      <c r="A93" s="8" t="inlineStr">
        <is>
          <t>Talented II: Leadership</t>
        </is>
      </c>
      <c r="B93" s="8" t="inlineStr">
        <is>
          <t>Talentovaný II: Velení</t>
        </is>
      </c>
      <c r="C93" s="8" t="inlineStr">
        <is>
          <t>Features / Human features / Talented</t>
        </is>
      </c>
      <c r="D93" s="8" t="n">
        <v>481</v>
      </c>
      <c r="E93" s="8" t="inlineStr">
        <is>
          <t>Talentovaný II</t>
        </is>
      </c>
      <c r="F93" s="9" t="inlineStr">
        <is>
          <t>Family rule: Talented II (book prices every skill alike)</t>
        </is>
      </c>
      <c r="G93" s="9" t="inlineStr">
        <is>
          <t>r483 Talentovaný III (0.83); r479 Talentovaný I (0.76); r726 Nenáviděný nepřítel (0.45); r754 Vyvolený Světla (0.44)</t>
        </is>
      </c>
      <c r="H93" s="10" t="inlineStr">
        <is>
          <t>Accept</t>
        </is>
      </c>
      <c r="I93" s="10" t="n"/>
      <c r="J93" s="10" t="n"/>
      <c r="K93" s="10" t="n"/>
      <c r="L93" s="11" t="n"/>
      <c r="M93" s="11" t="n"/>
      <c r="N93" s="12">
        <f>IF(H93="Accept",D93,IF(H93="Use row",I93,""))</f>
        <v/>
      </c>
      <c r="O93" s="12">
        <f>IF(H93="Manual",IF(J93="","",J93),IF(N93="","",IFERROR(INDEX('Book rows'!$D$2:$D$392,MATCH(N93,'Book rows'!$A$2:$A$392,0)),"row not found")))</f>
        <v/>
      </c>
      <c r="P93" s="12">
        <f>IF(H93="Manual",IF(K93="","",K93),IF(N93="","",IFERROR(INDEX('Book rows'!$E$2:$E$392,MATCH(N93,'Book rows'!$A$2:$A$392,0)),"row not found")))</f>
        <v/>
      </c>
      <c r="Q93" s="13">
        <f>IF(H93="Manual",IF(L93="","",L93),IF(N93="","",IFERROR(INDEX('Book rows'!$F$2:$F$392,MATCH(N93,'Book rows'!$A$2:$A$392,0)),"row not found")))</f>
        <v/>
      </c>
    </row>
    <row r="94">
      <c r="A94" s="8" t="inlineStr">
        <is>
          <t>Talented II: Pickpocketing</t>
        </is>
      </c>
      <c r="B94" s="8" t="inlineStr">
        <is>
          <t>Talentovaný II: Kapsářství</t>
        </is>
      </c>
      <c r="C94" s="8" t="inlineStr">
        <is>
          <t>Features / Human features / Talented</t>
        </is>
      </c>
      <c r="D94" s="8" t="n">
        <v>481</v>
      </c>
      <c r="E94" s="8" t="inlineStr">
        <is>
          <t>Talentovaný II</t>
        </is>
      </c>
      <c r="F94" s="9" t="inlineStr">
        <is>
          <t>Family rule: Talented II (book prices every skill alike)</t>
        </is>
      </c>
      <c r="G94" s="9" t="inlineStr">
        <is>
          <t>r483 Talentovaný III (0.75); r479 Talentovaný I (0.68); r817 Válečný štváč (0.47); r601 Kontrolovaný chaos (0.47)</t>
        </is>
      </c>
      <c r="H94" s="10" t="inlineStr">
        <is>
          <t>Accept</t>
        </is>
      </c>
      <c r="I94" s="10" t="n"/>
      <c r="J94" s="10" t="n"/>
      <c r="K94" s="10" t="n"/>
      <c r="L94" s="11" t="n"/>
      <c r="M94" s="11" t="n"/>
      <c r="N94" s="12">
        <f>IF(H94="Accept",D94,IF(H94="Use row",I94,""))</f>
        <v/>
      </c>
      <c r="O94" s="12">
        <f>IF(H94="Manual",IF(J94="","",J94),IF(N94="","",IFERROR(INDEX('Book rows'!$D$2:$D$392,MATCH(N94,'Book rows'!$A$2:$A$392,0)),"row not found")))</f>
        <v/>
      </c>
      <c r="P94" s="12">
        <f>IF(H94="Manual",IF(K94="","",K94),IF(N94="","",IFERROR(INDEX('Book rows'!$E$2:$E$392,MATCH(N94,'Book rows'!$A$2:$A$392,0)),"row not found")))</f>
        <v/>
      </c>
      <c r="Q94" s="13">
        <f>IF(H94="Manual",IF(L94="","",L94),IF(N94="","",IFERROR(INDEX('Book rows'!$F$2:$F$392,MATCH(N94,'Book rows'!$A$2:$A$392,0)),"row not found")))</f>
        <v/>
      </c>
    </row>
    <row r="95">
      <c r="A95" s="8" t="inlineStr">
        <is>
          <t>Talented II: Stealth</t>
        </is>
      </c>
      <c r="B95" s="8" t="inlineStr">
        <is>
          <t>Talentovaný II: Plížení</t>
        </is>
      </c>
      <c r="C95" s="8" t="inlineStr">
        <is>
          <t>Features / Human features / Talented</t>
        </is>
      </c>
      <c r="D95" s="8" t="n">
        <v>481</v>
      </c>
      <c r="E95" s="8" t="inlineStr">
        <is>
          <t>Talentovaný II</t>
        </is>
      </c>
      <c r="F95" s="9" t="inlineStr">
        <is>
          <t>Family rule: Talented II (book prices every skill alike)</t>
        </is>
      </c>
      <c r="G95" s="9" t="inlineStr">
        <is>
          <t>r483 Talentovaný III (0.81); r479 Talentovaný I (0.74); r322 Doteková stabilizace (0.52); r514 Trpasličí pikenýr (0.51)</t>
        </is>
      </c>
      <c r="H95" s="10" t="inlineStr">
        <is>
          <t>Accept</t>
        </is>
      </c>
      <c r="I95" s="10" t="n"/>
      <c r="J95" s="10" t="n"/>
      <c r="K95" s="10" t="n"/>
      <c r="L95" s="11" t="n"/>
      <c r="M95" s="11" t="n"/>
      <c r="N95" s="12">
        <f>IF(H95="Accept",D95,IF(H95="Use row",I95,""))</f>
        <v/>
      </c>
      <c r="O95" s="12">
        <f>IF(H95="Manual",IF(J95="","",J95),IF(N95="","",IFERROR(INDEX('Book rows'!$D$2:$D$392,MATCH(N95,'Book rows'!$A$2:$A$392,0)),"row not found")))</f>
        <v/>
      </c>
      <c r="P95" s="12">
        <f>IF(H95="Manual",IF(K95="","",K95),IF(N95="","",IFERROR(INDEX('Book rows'!$E$2:$E$392,MATCH(N95,'Book rows'!$A$2:$A$392,0)),"row not found")))</f>
        <v/>
      </c>
      <c r="Q95" s="13">
        <f>IF(H95="Manual",IF(L95="","",L95),IF(N95="","",IFERROR(INDEX('Book rows'!$F$2:$F$392,MATCH(N95,'Book rows'!$A$2:$A$392,0)),"row not found")))</f>
        <v/>
      </c>
    </row>
    <row r="96">
      <c r="A96" s="8" t="inlineStr">
        <is>
          <t>Deep focus</t>
        </is>
      </c>
      <c r="B96" s="8" t="inlineStr">
        <is>
          <t>Usilovná koncentrace</t>
        </is>
      </c>
      <c r="C96" s="8" t="inlineStr">
        <is>
          <t>Features / Mage features</t>
        </is>
      </c>
      <c r="D96" s="8" t="n"/>
      <c r="E96" s="8" t="n"/>
      <c r="F96" s="9" t="inlineStr">
        <is>
          <t>No real candidate in the book</t>
        </is>
      </c>
      <c r="G96" s="9" t="inlineStr">
        <is>
          <t>r627 Vrozená regenerace I (0.50); r684 Šikovné ruce (0.50); r460 Duševní terapeut (0.50); r635 Vrozená regenerace II (0.49); r390 Tělesná kalibrace (0.49)</t>
        </is>
      </c>
      <c r="H96" s="10" t="n"/>
      <c r="I96" s="10" t="n"/>
      <c r="J96" s="10" t="n"/>
      <c r="K96" s="10" t="n"/>
      <c r="L96" s="11" t="n"/>
      <c r="M96" s="11" t="n"/>
      <c r="N96" s="12">
        <f>IF(H96="Accept",D96,IF(H96="Use row",I96,""))</f>
        <v/>
      </c>
      <c r="O96" s="12">
        <f>IF(H96="Manual",IF(J96="","",J96),IF(N96="","",IFERROR(INDEX('Book rows'!$D$2:$D$392,MATCH(N96,'Book rows'!$A$2:$A$392,0)),"row not found")))</f>
        <v/>
      </c>
      <c r="P96" s="12">
        <f>IF(H96="Manual",IF(K96="","",K96),IF(N96="","",IFERROR(INDEX('Book rows'!$E$2:$E$392,MATCH(N96,'Book rows'!$A$2:$A$392,0)),"row not found")))</f>
        <v/>
      </c>
      <c r="Q96" s="13">
        <f>IF(H96="Manual",IF(L96="","",L96),IF(N96="","",IFERROR(INDEX('Book rows'!$F$2:$F$392,MATCH(N96,'Book rows'!$A$2:$A$392,0)),"row not found")))</f>
        <v/>
      </c>
    </row>
    <row r="97">
      <c r="A97" s="8" t="inlineStr">
        <is>
          <t>Fast spells</t>
        </is>
      </c>
      <c r="B97" s="8" t="inlineStr">
        <is>
          <t>Rychlá kouzla</t>
        </is>
      </c>
      <c r="C97" s="8" t="inlineStr">
        <is>
          <t>Features / Mage features</t>
        </is>
      </c>
      <c r="D97" s="8" t="n">
        <v>342</v>
      </c>
      <c r="E97" s="8" t="inlineStr">
        <is>
          <t>Rychlé kouzlo I</t>
        </is>
      </c>
      <c r="F97" s="9" t="inlineStr">
        <is>
          <t>Weak name match (0.79); likely wrong</t>
        </is>
      </c>
      <c r="G97" s="9" t="inlineStr">
        <is>
          <t>r348 Rychlé kouzlo IV (0.76); r344 Rychlé kouzlo II (0.76); r346 Rychlé kouzlo III (0.73); r122 Rychlá odveta (0.69)</t>
        </is>
      </c>
      <c r="H97" s="10" t="n"/>
      <c r="I97" s="10" t="n"/>
      <c r="J97" s="10" t="n"/>
      <c r="K97" s="10" t="n"/>
      <c r="L97" s="11" t="n"/>
      <c r="M97" s="11" t="n"/>
      <c r="N97" s="12">
        <f>IF(H97="Accept",D97,IF(H97="Use row",I97,""))</f>
        <v/>
      </c>
      <c r="O97" s="12">
        <f>IF(H97="Manual",IF(J97="","",J97),IF(N97="","",IFERROR(INDEX('Book rows'!$D$2:$D$392,MATCH(N97,'Book rows'!$A$2:$A$392,0)),"row not found")))</f>
        <v/>
      </c>
      <c r="P97" s="12">
        <f>IF(H97="Manual",IF(K97="","",K97),IF(N97="","",IFERROR(INDEX('Book rows'!$E$2:$E$392,MATCH(N97,'Book rows'!$A$2:$A$392,0)),"row not found")))</f>
        <v/>
      </c>
      <c r="Q97" s="13">
        <f>IF(H97="Manual",IF(L97="","",L97),IF(N97="","",IFERROR(INDEX('Book rows'!$F$2:$F$392,MATCH(N97,'Book rows'!$A$2:$A$392,0)),"row not found")))</f>
        <v/>
      </c>
    </row>
    <row r="98">
      <c r="A98" s="8" t="inlineStr">
        <is>
          <t>Improved Burn</t>
        </is>
      </c>
      <c r="B98" s="8" t="inlineStr">
        <is>
          <t>Vylepšené podpálení</t>
        </is>
      </c>
      <c r="C98" s="8" t="inlineStr">
        <is>
          <t>Features / Mage features</t>
        </is>
      </c>
      <c r="D98" s="8" t="n">
        <v>355</v>
      </c>
      <c r="E98" s="8" t="inlineStr">
        <is>
          <t>Podpálení</t>
        </is>
      </c>
      <c r="F98" s="9" t="inlineStr">
        <is>
          <t>Weak name match (0.64); likely wrong</t>
        </is>
      </c>
      <c r="G98" s="9" t="inlineStr">
        <is>
          <t>r581 Temné pokušení (0.55); r350 Zrychlené čarování (0.54); r489 Zkušený válečník (0.51); r770 Zkušený válečník (0.51); r362 Zpomalení (0.50)</t>
        </is>
      </c>
      <c r="H98" s="10" t="n"/>
      <c r="I98" s="10" t="n"/>
      <c r="J98" s="10" t="n"/>
      <c r="K98" s="10" t="n"/>
      <c r="L98" s="11" t="n"/>
      <c r="M98" s="11" t="n"/>
      <c r="N98" s="12">
        <f>IF(H98="Accept",D98,IF(H98="Use row",I98,""))</f>
        <v/>
      </c>
      <c r="O98" s="12">
        <f>IF(H98="Manual",IF(J98="","",J98),IF(N98="","",IFERROR(INDEX('Book rows'!$D$2:$D$392,MATCH(N98,'Book rows'!$A$2:$A$392,0)),"row not found")))</f>
        <v/>
      </c>
      <c r="P98" s="12">
        <f>IF(H98="Manual",IF(K98="","",K98),IF(N98="","",IFERROR(INDEX('Book rows'!$E$2:$E$392,MATCH(N98,'Book rows'!$A$2:$A$392,0)),"row not found")))</f>
        <v/>
      </c>
      <c r="Q98" s="13">
        <f>IF(H98="Manual",IF(L98="","",L98),IF(N98="","",IFERROR(INDEX('Book rows'!$F$2:$F$392,MATCH(N98,'Book rows'!$A$2:$A$392,0)),"row not found")))</f>
        <v/>
      </c>
    </row>
    <row r="99">
      <c r="A99" s="8" t="inlineStr">
        <is>
          <t>Improved Slow</t>
        </is>
      </c>
      <c r="B99" s="8" t="inlineStr">
        <is>
          <t>Vylepšené zpomalení</t>
        </is>
      </c>
      <c r="C99" s="8" t="inlineStr">
        <is>
          <t>Features / Mage features</t>
        </is>
      </c>
      <c r="D99" s="8" t="n">
        <v>362</v>
      </c>
      <c r="E99" s="8" t="inlineStr">
        <is>
          <t>Zpomalení</t>
        </is>
      </c>
      <c r="F99" s="9" t="inlineStr">
        <is>
          <t>Weak name match (0.64); likely wrong</t>
        </is>
      </c>
      <c r="G99" s="9" t="inlineStr">
        <is>
          <t>r350 Zrychlené čarování (0.54); r489 Zkušený válečník (0.51); r770 Zkušený válečník (0.51); r355 Podpálení (0.50); r569 Vznešená mluva (0.48)</t>
        </is>
      </c>
      <c r="H99" s="10" t="n"/>
      <c r="I99" s="10" t="n"/>
      <c r="J99" s="10" t="n"/>
      <c r="K99" s="10" t="n"/>
      <c r="L99" s="11" t="n"/>
      <c r="M99" s="11" t="n"/>
      <c r="N99" s="12">
        <f>IF(H99="Accept",D99,IF(H99="Use row",I99,""))</f>
        <v/>
      </c>
      <c r="O99" s="12">
        <f>IF(H99="Manual",IF(J99="","",J99),IF(N99="","",IFERROR(INDEX('Book rows'!$D$2:$D$392,MATCH(N99,'Book rows'!$A$2:$A$392,0)),"row not found")))</f>
        <v/>
      </c>
      <c r="P99" s="12">
        <f>IF(H99="Manual",IF(K99="","",K99),IF(N99="","",IFERROR(INDEX('Book rows'!$E$2:$E$392,MATCH(N99,'Book rows'!$A$2:$A$392,0)),"row not found")))</f>
        <v/>
      </c>
      <c r="Q99" s="13">
        <f>IF(H99="Manual",IF(L99="","",L99),IF(N99="","",IFERROR(INDEX('Book rows'!$F$2:$F$392,MATCH(N99,'Book rows'!$A$2:$A$392,0)),"row not found")))</f>
        <v/>
      </c>
    </row>
    <row r="100">
      <c r="A100" s="8" t="inlineStr">
        <is>
          <t>Magic traps</t>
        </is>
      </c>
      <c r="B100" s="8" t="inlineStr">
        <is>
          <t>Magické pasti</t>
        </is>
      </c>
      <c r="C100" s="8" t="inlineStr">
        <is>
          <t>Features / Mage features</t>
        </is>
      </c>
      <c r="D100" s="8" t="n">
        <v>330</v>
      </c>
      <c r="E100" s="8" t="inlineStr">
        <is>
          <t>Magické pasti I</t>
        </is>
      </c>
      <c r="F100" s="9" t="inlineStr">
        <is>
          <t>Book has tiers (I, II...) but the pack has one item; tier I suggested</t>
        </is>
      </c>
      <c r="G100" s="9" t="inlineStr">
        <is>
          <t>r332 Magické pasti II (0.90); r334 Magické pasti III (0.87); r241 Mistr pastí (0.67); r595 Magická expertíza (0.67)</t>
        </is>
      </c>
      <c r="H100" s="10" t="n"/>
      <c r="I100" s="10" t="n"/>
      <c r="J100" s="10" t="n"/>
      <c r="K100" s="10" t="n"/>
      <c r="L100" s="11" t="n"/>
      <c r="M100" s="11" t="n"/>
      <c r="N100" s="12">
        <f>IF(H100="Accept",D100,IF(H100="Use row",I100,""))</f>
        <v/>
      </c>
      <c r="O100" s="12">
        <f>IF(H100="Manual",IF(J100="","",J100),IF(N100="","",IFERROR(INDEX('Book rows'!$D$2:$D$392,MATCH(N100,'Book rows'!$A$2:$A$392,0)),"row not found")))</f>
        <v/>
      </c>
      <c r="P100" s="12">
        <f>IF(H100="Manual",IF(K100="","",K100),IF(N100="","",IFERROR(INDEX('Book rows'!$E$2:$E$392,MATCH(N100,'Book rows'!$A$2:$A$392,0)),"row not found")))</f>
        <v/>
      </c>
      <c r="Q100" s="13">
        <f>IF(H100="Manual",IF(L100="","",L100),IF(N100="","",IFERROR(INDEX('Book rows'!$F$2:$F$392,MATCH(N100,'Book rows'!$A$2:$A$392,0)),"row not found")))</f>
        <v/>
      </c>
    </row>
    <row r="101">
      <c r="A101" s="8" t="inlineStr">
        <is>
          <t>Quick channeling</t>
        </is>
      </c>
      <c r="B101" s="8" t="inlineStr">
        <is>
          <t>Rychlé usměrňování</t>
        </is>
      </c>
      <c r="C101" s="8" t="inlineStr">
        <is>
          <t>Features / Mage features</t>
        </is>
      </c>
      <c r="D101" s="8" t="n">
        <v>350</v>
      </c>
      <c r="E101" s="8" t="inlineStr">
        <is>
          <t>Zrychlené čarování</t>
        </is>
      </c>
      <c r="F101" s="9" t="inlineStr">
        <is>
          <t>Weak name match (0.72); likely wrong</t>
        </is>
      </c>
      <c r="G101" s="9" t="inlineStr">
        <is>
          <t>r128 Rychlý útočník (0.62); r126 Rychlé ruce (0.62); r342 Rychlé kouzlo I (0.61); r348 Rychlé kouzlo IV (0.59)</t>
        </is>
      </c>
      <c r="H101" s="10" t="n"/>
      <c r="I101" s="10" t="n"/>
      <c r="J101" s="10" t="n"/>
      <c r="K101" s="10" t="n"/>
      <c r="L101" s="11" t="n"/>
      <c r="M101" s="11" t="n"/>
      <c r="N101" s="12">
        <f>IF(H101="Accept",D101,IF(H101="Use row",I101,""))</f>
        <v/>
      </c>
      <c r="O101" s="12">
        <f>IF(H101="Manual",IF(J101="","",J101),IF(N101="","",IFERROR(INDEX('Book rows'!$D$2:$D$392,MATCH(N101,'Book rows'!$A$2:$A$392,0)),"row not found")))</f>
        <v/>
      </c>
      <c r="P101" s="12">
        <f>IF(H101="Manual",IF(K101="","",K101),IF(N101="","",IFERROR(INDEX('Book rows'!$E$2:$E$392,MATCH(N101,'Book rows'!$A$2:$A$392,0)),"row not found")))</f>
        <v/>
      </c>
      <c r="Q101" s="13">
        <f>IF(H101="Manual",IF(L101="","",L101),IF(N101="","",IFERROR(INDEX('Book rows'!$F$2:$F$392,MATCH(N101,'Book rows'!$A$2:$A$392,0)),"row not found")))</f>
        <v/>
      </c>
    </row>
    <row r="102">
      <c r="A102" s="8" t="inlineStr">
        <is>
          <t>Stabilising touch</t>
        </is>
      </c>
      <c r="B102" s="8" t="inlineStr">
        <is>
          <t>Stabilizující dotek</t>
        </is>
      </c>
      <c r="C102" s="8" t="inlineStr">
        <is>
          <t>Features / Mage features</t>
        </is>
      </c>
      <c r="D102" s="8" t="n"/>
      <c r="E102" s="8" t="n"/>
      <c r="F102" s="9" t="inlineStr">
        <is>
          <t>No real candidate in the book</t>
        </is>
      </c>
      <c r="G102" s="9" t="inlineStr">
        <is>
          <t>r255 Očišťující bolest (0.56); r322 Doteková stabilizace (0.51); r777 Ptačí žaludek (0.50); r378 Omračující blesky (0.50); r469 Specializace: *Dovednost* (0.49); r525 Specializace: *Dovednost* (0.49)</t>
        </is>
      </c>
      <c r="H102" s="10" t="n"/>
      <c r="I102" s="10" t="n"/>
      <c r="J102" s="10" t="n"/>
      <c r="K102" s="10" t="n"/>
      <c r="L102" s="11" t="n"/>
      <c r="M102" s="11" t="n"/>
      <c r="N102" s="12">
        <f>IF(H102="Accept",D102,IF(H102="Use row",I102,""))</f>
        <v/>
      </c>
      <c r="O102" s="12">
        <f>IF(H102="Manual",IF(J102="","",J102),IF(N102="","",IFERROR(INDEX('Book rows'!$D$2:$D$392,MATCH(N102,'Book rows'!$A$2:$A$392,0)),"row not found")))</f>
        <v/>
      </c>
      <c r="P102" s="12">
        <f>IF(H102="Manual",IF(K102="","",K102),IF(N102="","",IFERROR(INDEX('Book rows'!$E$2:$E$392,MATCH(N102,'Book rows'!$A$2:$A$392,0)),"row not found")))</f>
        <v/>
      </c>
      <c r="Q102" s="13">
        <f>IF(H102="Manual",IF(L102="","",L102),IF(N102="","",IFERROR(INDEX('Book rows'!$F$2:$F$392,MATCH(N102,'Book rows'!$A$2:$A$392,0)),"row not found")))</f>
        <v/>
      </c>
    </row>
    <row r="103">
      <c r="A103" s="8" t="inlineStr">
        <is>
          <t>Battlebrother</t>
        </is>
      </c>
      <c r="B103" s="8" t="inlineStr">
        <is>
          <t>Bratr ve zbrani</t>
        </is>
      </c>
      <c r="C103" s="8" t="inlineStr">
        <is>
          <t>Features / Noncombat features</t>
        </is>
      </c>
      <c r="D103" s="8" t="n"/>
      <c r="E103" s="8" t="n"/>
      <c r="F103" s="9" t="inlineStr">
        <is>
          <t>No real candidate in the book</t>
        </is>
      </c>
      <c r="G103" s="9" t="inlineStr">
        <is>
          <t>r46 Exotické zbraně I (0.56); r48 Exotické zbraně II (0.55); r70 Krvavé nabodnutí (0.52); r20 Akrobatická obrana I (0.51); r340 Pohotové čarování (0.50)</t>
        </is>
      </c>
      <c r="H103" s="10" t="n"/>
      <c r="I103" s="10" t="n"/>
      <c r="J103" s="10" t="n"/>
      <c r="K103" s="10" t="n"/>
      <c r="L103" s="11" t="n"/>
      <c r="M103" s="11" t="n"/>
      <c r="N103" s="12">
        <f>IF(H103="Accept",D103,IF(H103="Use row",I103,""))</f>
        <v/>
      </c>
      <c r="O103" s="12">
        <f>IF(H103="Manual",IF(J103="","",J103),IF(N103="","",IFERROR(INDEX('Book rows'!$D$2:$D$392,MATCH(N103,'Book rows'!$A$2:$A$392,0)),"row not found")))</f>
        <v/>
      </c>
      <c r="P103" s="12">
        <f>IF(H103="Manual",IF(K103="","",K103),IF(N103="","",IFERROR(INDEX('Book rows'!$E$2:$E$392,MATCH(N103,'Book rows'!$A$2:$A$392,0)),"row not found")))</f>
        <v/>
      </c>
      <c r="Q103" s="13">
        <f>IF(H103="Manual",IF(L103="","",L103),IF(N103="","",IFERROR(INDEX('Book rows'!$F$2:$F$392,MATCH(N103,'Book rows'!$A$2:$A$392,0)),"row not found")))</f>
        <v/>
      </c>
    </row>
    <row r="104">
      <c r="A104" s="8" t="inlineStr">
        <is>
          <t>Crawling</t>
        </is>
      </c>
      <c r="B104" s="8" t="inlineStr">
        <is>
          <t>Plazení</t>
        </is>
      </c>
      <c r="C104" s="8" t="inlineStr">
        <is>
          <t>Features / Noncombat features</t>
        </is>
      </c>
      <c r="D104" s="8" t="n">
        <v>116</v>
      </c>
      <c r="E104" s="8" t="inlineStr">
        <is>
          <t>Přetažení</t>
        </is>
      </c>
      <c r="F104" s="9" t="inlineStr">
        <is>
          <t>Weak name match (0.75); likely wrong</t>
        </is>
      </c>
      <c r="G104" s="9" t="inlineStr">
        <is>
          <t>r362 Zpomalení (0.62); r106 Prohození (0.62); r355 Podpálení (0.62); r724 Rozptýlení (0.59)</t>
        </is>
      </c>
      <c r="H104" s="10" t="n"/>
      <c r="I104" s="10" t="n"/>
      <c r="J104" s="10" t="n"/>
      <c r="K104" s="10" t="n"/>
      <c r="L104" s="11" t="n"/>
      <c r="M104" s="11" t="n"/>
      <c r="N104" s="12">
        <f>IF(H104="Accept",D104,IF(H104="Use row",I104,""))</f>
        <v/>
      </c>
      <c r="O104" s="12">
        <f>IF(H104="Manual",IF(J104="","",J104),IF(N104="","",IFERROR(INDEX('Book rows'!$D$2:$D$392,MATCH(N104,'Book rows'!$A$2:$A$392,0)),"row not found")))</f>
        <v/>
      </c>
      <c r="P104" s="12">
        <f>IF(H104="Manual",IF(K104="","",K104),IF(N104="","",IFERROR(INDEX('Book rows'!$E$2:$E$392,MATCH(N104,'Book rows'!$A$2:$A$392,0)),"row not found")))</f>
        <v/>
      </c>
      <c r="Q104" s="13">
        <f>IF(H104="Manual",IF(L104="","",L104),IF(N104="","",IFERROR(INDEX('Book rows'!$F$2:$F$392,MATCH(N104,'Book rows'!$A$2:$A$392,0)),"row not found")))</f>
        <v/>
      </c>
    </row>
    <row r="105">
      <c r="A105" s="8" t="inlineStr">
        <is>
          <t>Determination</t>
        </is>
      </c>
      <c r="B105" s="8" t="inlineStr">
        <is>
          <t>Odhodlání</t>
        </is>
      </c>
      <c r="C105" s="8" t="inlineStr">
        <is>
          <t>Features / Noncombat features</t>
        </is>
      </c>
      <c r="D105" s="8" t="n"/>
      <c r="E105" s="8" t="n"/>
      <c r="F105" s="9" t="inlineStr">
        <is>
          <t>No real candidate in the book</t>
        </is>
      </c>
      <c r="G105" s="9" t="inlineStr">
        <is>
          <t>r106 Prohození (0.56); r355 Podpálení (0.56); r647 Pohled hada (0.50); r189 Dlouhá modlitba (0.50); r428 Blahodárné snění (0.48)</t>
        </is>
      </c>
      <c r="H105" s="10" t="n"/>
      <c r="I105" s="10" t="n"/>
      <c r="J105" s="10" t="n"/>
      <c r="K105" s="10" t="n"/>
      <c r="L105" s="11" t="n"/>
      <c r="M105" s="11" t="n"/>
      <c r="N105" s="12">
        <f>IF(H105="Accept",D105,IF(H105="Use row",I105,""))</f>
        <v/>
      </c>
      <c r="O105" s="12">
        <f>IF(H105="Manual",IF(J105="","",J105),IF(N105="","",IFERROR(INDEX('Book rows'!$D$2:$D$392,MATCH(N105,'Book rows'!$A$2:$A$392,0)),"row not found")))</f>
        <v/>
      </c>
      <c r="P105" s="12">
        <f>IF(H105="Manual",IF(K105="","",K105),IF(N105="","",IFERROR(INDEX('Book rows'!$E$2:$E$392,MATCH(N105,'Book rows'!$A$2:$A$392,0)),"row not found")))</f>
        <v/>
      </c>
      <c r="Q105" s="13">
        <f>IF(H105="Manual",IF(L105="","",L105),IF(N105="","",IFERROR(INDEX('Book rows'!$F$2:$F$392,MATCH(N105,'Book rows'!$A$2:$A$392,0)),"row not found")))</f>
        <v/>
      </c>
    </row>
    <row r="106">
      <c r="A106" s="8" t="inlineStr">
        <is>
          <t>Drinker</t>
        </is>
      </c>
      <c r="B106" s="8" t="inlineStr">
        <is>
          <t>Pijan</t>
        </is>
      </c>
      <c r="C106" s="8" t="inlineStr">
        <is>
          <t>Features / Noncombat features</t>
        </is>
      </c>
      <c r="D106" s="8" t="n">
        <v>257</v>
      </c>
      <c r="E106" s="8" t="inlineStr">
        <is>
          <t>Piják</t>
        </is>
      </c>
      <c r="F106" s="9" t="inlineStr">
        <is>
          <t>Weak name match (0.80); likely wrong</t>
        </is>
      </c>
      <c r="G106" s="9" t="inlineStr">
        <is>
          <t>r512 Partizán (0.62); r704 Spáč (0.44); r412 Nebojácný (0.43); r213 Expertíza (0.43)</t>
        </is>
      </c>
      <c r="H106" s="10" t="n"/>
      <c r="I106" s="10" t="n"/>
      <c r="J106" s="10" t="n"/>
      <c r="K106" s="10" t="n"/>
      <c r="L106" s="11" t="n"/>
      <c r="M106" s="11" t="n"/>
      <c r="N106" s="12">
        <f>IF(H106="Accept",D106,IF(H106="Use row",I106,""))</f>
        <v/>
      </c>
      <c r="O106" s="12">
        <f>IF(H106="Manual",IF(J106="","",J106),IF(N106="","",IFERROR(INDEX('Book rows'!$D$2:$D$392,MATCH(N106,'Book rows'!$A$2:$A$392,0)),"row not found")))</f>
        <v/>
      </c>
      <c r="P106" s="12">
        <f>IF(H106="Manual",IF(K106="","",K106),IF(N106="","",IFERROR(INDEX('Book rows'!$E$2:$E$392,MATCH(N106,'Book rows'!$A$2:$A$392,0)),"row not found")))</f>
        <v/>
      </c>
      <c r="Q106" s="13">
        <f>IF(H106="Manual",IF(L106="","",L106),IF(N106="","",IFERROR(INDEX('Book rows'!$F$2:$F$392,MATCH(N106,'Book rows'!$A$2:$A$392,0)),"row not found")))</f>
        <v/>
      </c>
    </row>
    <row r="107">
      <c r="A107" s="8" t="inlineStr">
        <is>
          <t>Hardened</t>
        </is>
      </c>
      <c r="B107" s="8" t="inlineStr">
        <is>
          <t>Otužilý</t>
        </is>
      </c>
      <c r="C107" s="8" t="inlineStr">
        <is>
          <t>Features / Noncombat features</t>
        </is>
      </c>
      <c r="D107" s="8" t="n"/>
      <c r="E107" s="8" t="n"/>
      <c r="F107" s="9" t="inlineStr">
        <is>
          <t>No real candidate in the book</t>
        </is>
      </c>
      <c r="G107" s="9" t="inlineStr">
        <is>
          <t>r612 Radost z jídla (0.48); r629 Obojživelník (0.42); r378 Omračující blesky (0.42); r255 Očišťující bolest (0.42); r307 Zocelený (0.40)</t>
        </is>
      </c>
      <c r="H107" s="10" t="n"/>
      <c r="I107" s="10" t="n"/>
      <c r="J107" s="10" t="n"/>
      <c r="K107" s="10" t="n"/>
      <c r="L107" s="11" t="n"/>
      <c r="M107" s="11" t="n"/>
      <c r="N107" s="12">
        <f>IF(H107="Accept",D107,IF(H107="Use row",I107,""))</f>
        <v/>
      </c>
      <c r="O107" s="12">
        <f>IF(H107="Manual",IF(J107="","",J107),IF(N107="","",IFERROR(INDEX('Book rows'!$D$2:$D$392,MATCH(N107,'Book rows'!$A$2:$A$392,0)),"row not found")))</f>
        <v/>
      </c>
      <c r="P107" s="12">
        <f>IF(H107="Manual",IF(K107="","",K107),IF(N107="","",IFERROR(INDEX('Book rows'!$E$2:$E$392,MATCH(N107,'Book rows'!$A$2:$A$392,0)),"row not found")))</f>
        <v/>
      </c>
      <c r="Q107" s="13">
        <f>IF(H107="Manual",IF(L107="","",L107),IF(N107="","",IFERROR(INDEX('Book rows'!$F$2:$F$392,MATCH(N107,'Book rows'!$A$2:$A$392,0)),"row not found")))</f>
        <v/>
      </c>
    </row>
    <row r="108">
      <c r="A108" s="8" t="inlineStr">
        <is>
          <t>Liquor Connoisseur</t>
        </is>
      </c>
      <c r="B108" s="8" t="inlineStr">
        <is>
          <t>Znalec lihovin</t>
        </is>
      </c>
      <c r="C108" s="8" t="inlineStr">
        <is>
          <t>Features / Noncombat features</t>
        </is>
      </c>
      <c r="D108" s="8" t="n">
        <v>303</v>
      </c>
      <c r="E108" s="8" t="inlineStr">
        <is>
          <t>Znalec iluzí</t>
        </is>
      </c>
      <c r="F108" s="9" t="inlineStr">
        <is>
          <t>Weak name match (0.69); likely wrong</t>
        </is>
      </c>
      <c r="G108" s="9" t="inlineStr">
        <is>
          <t>r301 Znalec alkoholu (0.69); r305 Znalec zlodějů (0.64); r283 Svalovec II (0.56); r291 Učenec II (0.52)</t>
        </is>
      </c>
      <c r="H108" s="10" t="n"/>
      <c r="I108" s="10" t="n"/>
      <c r="J108" s="10" t="n"/>
      <c r="K108" s="10" t="n"/>
      <c r="L108" s="11" t="n"/>
      <c r="M108" s="11" t="n"/>
      <c r="N108" s="12">
        <f>IF(H108="Accept",D108,IF(H108="Use row",I108,""))</f>
        <v/>
      </c>
      <c r="O108" s="12">
        <f>IF(H108="Manual",IF(J108="","",J108),IF(N108="","",IFERROR(INDEX('Book rows'!$D$2:$D$392,MATCH(N108,'Book rows'!$A$2:$A$392,0)),"row not found")))</f>
        <v/>
      </c>
      <c r="P108" s="12">
        <f>IF(H108="Manual",IF(K108="","",K108),IF(N108="","",IFERROR(INDEX('Book rows'!$E$2:$E$392,MATCH(N108,'Book rows'!$A$2:$A$392,0)),"row not found")))</f>
        <v/>
      </c>
      <c r="Q108" s="13">
        <f>IF(H108="Manual",IF(L108="","",L108),IF(N108="","",IFERROR(INDEX('Book rows'!$F$2:$F$392,MATCH(N108,'Book rows'!$A$2:$A$392,0)),"row not found")))</f>
        <v/>
      </c>
    </row>
    <row r="109">
      <c r="A109" s="8" t="inlineStr">
        <is>
          <t>Master herbalist</t>
        </is>
      </c>
      <c r="B109" s="8" t="inlineStr">
        <is>
          <t>Mistr bylinář</t>
        </is>
      </c>
      <c r="C109" s="8" t="inlineStr">
        <is>
          <t>Features / Noncombat features</t>
        </is>
      </c>
      <c r="D109" s="8" t="n">
        <v>239</v>
      </c>
      <c r="E109" s="8" t="inlineStr">
        <is>
          <t>Mistr bylinkář</t>
        </is>
      </c>
      <c r="F109" s="9" t="inlineStr">
        <is>
          <t>Name looks alike (0.96); check it is the same feature</t>
        </is>
      </c>
      <c r="G109" s="9" t="inlineStr">
        <is>
          <t>r76 Mistr vrhu (0.61); r243 Mistr slov (0.61); r74 Mistr nožů (0.61); r18 Mistr boje (0.61)</t>
        </is>
      </c>
      <c r="H109" s="10" t="n"/>
      <c r="I109" s="10" t="n"/>
      <c r="J109" s="10" t="n"/>
      <c r="K109" s="10" t="n"/>
      <c r="L109" s="11" t="n"/>
      <c r="M109" s="11" t="n"/>
      <c r="N109" s="12">
        <f>IF(H109="Accept",D109,IF(H109="Use row",I109,""))</f>
        <v/>
      </c>
      <c r="O109" s="12">
        <f>IF(H109="Manual",IF(J109="","",J109),IF(N109="","",IFERROR(INDEX('Book rows'!$D$2:$D$392,MATCH(N109,'Book rows'!$A$2:$A$392,0)),"row not found")))</f>
        <v/>
      </c>
      <c r="P109" s="12">
        <f>IF(H109="Manual",IF(K109="","",K109),IF(N109="","",IFERROR(INDEX('Book rows'!$E$2:$E$392,MATCH(N109,'Book rows'!$A$2:$A$392,0)),"row not found")))</f>
        <v/>
      </c>
      <c r="Q109" s="13">
        <f>IF(H109="Manual",IF(L109="","",L109),IF(N109="","",IFERROR(INDEX('Book rows'!$F$2:$F$392,MATCH(N109,'Book rows'!$A$2:$A$392,0)),"row not found")))</f>
        <v/>
      </c>
    </row>
    <row r="110">
      <c r="A110" s="8" t="inlineStr">
        <is>
          <t>Muscular I</t>
        </is>
      </c>
      <c r="B110" s="8" t="inlineStr">
        <is>
          <t>Svalnatý I</t>
        </is>
      </c>
      <c r="C110" s="8" t="inlineStr">
        <is>
          <t>Features / Noncombat features</t>
        </is>
      </c>
      <c r="D110" s="8" t="n">
        <v>281</v>
      </c>
      <c r="E110" s="8" t="inlineStr">
        <is>
          <t>Svalovec I</t>
        </is>
      </c>
      <c r="F110" s="9" t="inlineStr">
        <is>
          <t>Weak name match (0.60); likely wrong</t>
        </is>
      </c>
      <c r="G110" s="9" t="inlineStr">
        <is>
          <t>r283 Svalovec II (0.57); r158 Volná ruka I (0.55); r26 Akrobat I (0.53); r160 Volná ruka II (0.52)</t>
        </is>
      </c>
      <c r="H110" s="10" t="n"/>
      <c r="I110" s="10" t="n"/>
      <c r="J110" s="10" t="n"/>
      <c r="K110" s="10" t="n"/>
      <c r="L110" s="11" t="n"/>
      <c r="M110" s="11" t="n"/>
      <c r="N110" s="12">
        <f>IF(H110="Accept",D110,IF(H110="Use row",I110,""))</f>
        <v/>
      </c>
      <c r="O110" s="12">
        <f>IF(H110="Manual",IF(J110="","",J110),IF(N110="","",IFERROR(INDEX('Book rows'!$D$2:$D$392,MATCH(N110,'Book rows'!$A$2:$A$392,0)),"row not found")))</f>
        <v/>
      </c>
      <c r="P110" s="12">
        <f>IF(H110="Manual",IF(K110="","",K110),IF(N110="","",IFERROR(INDEX('Book rows'!$E$2:$E$392,MATCH(N110,'Book rows'!$A$2:$A$392,0)),"row not found")))</f>
        <v/>
      </c>
      <c r="Q110" s="13">
        <f>IF(H110="Manual",IF(L110="","",L110),IF(N110="","",IFERROR(INDEX('Book rows'!$F$2:$F$392,MATCH(N110,'Book rows'!$A$2:$A$392,0)),"row not found")))</f>
        <v/>
      </c>
    </row>
    <row r="111">
      <c r="A111" s="8" t="inlineStr">
        <is>
          <t>Muscular II</t>
        </is>
      </c>
      <c r="B111" s="8" t="inlineStr">
        <is>
          <t>Svalnatý II</t>
        </is>
      </c>
      <c r="C111" s="8" t="inlineStr">
        <is>
          <t>Features / Noncombat features</t>
        </is>
      </c>
      <c r="D111" s="8" t="n">
        <v>283</v>
      </c>
      <c r="E111" s="8" t="inlineStr">
        <is>
          <t>Svalovec II</t>
        </is>
      </c>
      <c r="F111" s="9" t="inlineStr">
        <is>
          <t>Weak name match (0.64); likely wrong</t>
        </is>
      </c>
      <c r="G111" s="9" t="inlineStr">
        <is>
          <t>r160 Volná ruka II (0.58); r281 Svalovec I (0.57); r28 Akrobat II (0.57); r481 Talentovaný II (0.56)</t>
        </is>
      </c>
      <c r="H111" s="10" t="n"/>
      <c r="I111" s="10" t="n"/>
      <c r="J111" s="10" t="n"/>
      <c r="K111" s="10" t="n"/>
      <c r="L111" s="11" t="n"/>
      <c r="M111" s="11" t="n"/>
      <c r="N111" s="12">
        <f>IF(H111="Accept",D111,IF(H111="Use row",I111,""))</f>
        <v/>
      </c>
      <c r="O111" s="12">
        <f>IF(H111="Manual",IF(J111="","",J111),IF(N111="","",IFERROR(INDEX('Book rows'!$D$2:$D$392,MATCH(N111,'Book rows'!$A$2:$A$392,0)),"row not found")))</f>
        <v/>
      </c>
      <c r="P111" s="12">
        <f>IF(H111="Manual",IF(K111="","",K111),IF(N111="","",IFERROR(INDEX('Book rows'!$E$2:$E$392,MATCH(N111,'Book rows'!$A$2:$A$392,0)),"row not found")))</f>
        <v/>
      </c>
      <c r="Q111" s="13">
        <f>IF(H111="Manual",IF(L111="","",L111),IF(N111="","",IFERROR(INDEX('Book rows'!$F$2:$F$392,MATCH(N111,'Book rows'!$A$2:$A$392,0)),"row not found")))</f>
        <v/>
      </c>
    </row>
    <row r="112">
      <c r="A112" s="8" t="inlineStr">
        <is>
          <t>Wordsmith</t>
        </is>
      </c>
      <c r="B112" s="8" t="inlineStr">
        <is>
          <t>Mistr slova</t>
        </is>
      </c>
      <c r="C112" s="8" t="inlineStr">
        <is>
          <t>Features / Noncombat features</t>
        </is>
      </c>
      <c r="D112" s="8" t="n">
        <v>243</v>
      </c>
      <c r="E112" s="8" t="inlineStr">
        <is>
          <t>Mistr slov</t>
        </is>
      </c>
      <c r="F112" s="9" t="inlineStr">
        <is>
          <t>Name looks alike (0.95); check it is the same feature</t>
        </is>
      </c>
      <c r="G112" s="9" t="inlineStr">
        <is>
          <t>r245 Mistr zloděj (0.70); r76 Mistr vrhu (0.67); r74 Mistr nožů (0.67); r18 Mistr boje (0.67)</t>
        </is>
      </c>
      <c r="H112" s="10" t="n"/>
      <c r="I112" s="10" t="n"/>
      <c r="J112" s="10" t="n"/>
      <c r="K112" s="10" t="n"/>
      <c r="L112" s="11" t="n"/>
      <c r="M112" s="11" t="n"/>
      <c r="N112" s="12">
        <f>IF(H112="Accept",D112,IF(H112="Use row",I112,""))</f>
        <v/>
      </c>
      <c r="O112" s="12">
        <f>IF(H112="Manual",IF(J112="","",J112),IF(N112="","",IFERROR(INDEX('Book rows'!$D$2:$D$392,MATCH(N112,'Book rows'!$A$2:$A$392,0)),"row not found")))</f>
        <v/>
      </c>
      <c r="P112" s="12">
        <f>IF(H112="Manual",IF(K112="","",K112),IF(N112="","",IFERROR(INDEX('Book rows'!$E$2:$E$392,MATCH(N112,'Book rows'!$A$2:$A$392,0)),"row not found")))</f>
        <v/>
      </c>
      <c r="Q112" s="13">
        <f>IF(H112="Manual",IF(L112="","",L112),IF(N112="","",IFERROR(INDEX('Book rows'!$F$2:$F$392,MATCH(N112,'Book rows'!$A$2:$A$392,0)),"row not found")))</f>
        <v/>
      </c>
    </row>
    <row r="113">
      <c r="A113" s="8" t="inlineStr">
        <is>
          <t>Proficiency: Acrobacy</t>
        </is>
      </c>
      <c r="B113" s="8" t="inlineStr">
        <is>
          <t>Zdatnost: Akrobacie</t>
        </is>
      </c>
      <c r="C113" s="8" t="inlineStr">
        <is>
          <t>Features / Proficiencies</t>
        </is>
      </c>
      <c r="D113" s="8" t="n"/>
      <c r="E113" s="8" t="n"/>
      <c r="F113" s="9" t="inlineStr">
        <is>
          <t>No book row: Proficiency features appear in no rules sheet</t>
        </is>
      </c>
      <c r="G113" s="9" t="inlineStr">
        <is>
          <t>r785 Znalost dynastie (0.53); r26 Akrobat I (0.52); r80 Nezdolnost kamene (0.51); r193 *Dovednost A*: Adept (0.51); r28 Akrobat II (0.50)</t>
        </is>
      </c>
      <c r="H113" s="10" t="n"/>
      <c r="I113" s="10" t="n"/>
      <c r="J113" s="10" t="n"/>
      <c r="K113" s="10" t="n"/>
      <c r="L113" s="11" t="n"/>
      <c r="M113" s="11" t="n"/>
      <c r="N113" s="12">
        <f>IF(H113="Accept",D113,IF(H113="Use row",I113,""))</f>
        <v/>
      </c>
      <c r="O113" s="12">
        <f>IF(H113="Manual",IF(J113="","",J113),IF(N113="","",IFERROR(INDEX('Book rows'!$D$2:$D$392,MATCH(N113,'Book rows'!$A$2:$A$392,0)),"row not found")))</f>
        <v/>
      </c>
      <c r="P113" s="12">
        <f>IF(H113="Manual",IF(K113="","",K113),IF(N113="","",IFERROR(INDEX('Book rows'!$E$2:$E$392,MATCH(N113,'Book rows'!$A$2:$A$392,0)),"row not found")))</f>
        <v/>
      </c>
      <c r="Q113" s="13">
        <f>IF(H113="Manual",IF(L113="","",L113),IF(N113="","",IFERROR(INDEX('Book rows'!$F$2:$F$392,MATCH(N113,'Book rows'!$A$2:$A$392,0)),"row not found")))</f>
        <v/>
      </c>
    </row>
    <row r="114">
      <c r="A114" s="8" t="inlineStr">
        <is>
          <t>Proficiency: Alchemy</t>
        </is>
      </c>
      <c r="B114" s="8" t="inlineStr">
        <is>
          <t>Zdatnost: Alchymie</t>
        </is>
      </c>
      <c r="C114" s="8" t="inlineStr">
        <is>
          <t>Features / Proficiencies</t>
        </is>
      </c>
      <c r="D114" s="8" t="n"/>
      <c r="E114" s="8" t="n"/>
      <c r="F114" s="9" t="inlineStr">
        <is>
          <t>No book row: Proficiency features appear in no rules sheet</t>
        </is>
      </c>
      <c r="G114" s="9" t="inlineStr">
        <is>
          <t>r263 Rozbor alchemie (0.62); r80 Nezdolnost kamene (0.59); r785 Znalost dynastie (0.55); r209 *Dovednost C*: Mistr (0.53); r197 *Dovednost A*: Mistr (0.53)</t>
        </is>
      </c>
      <c r="H114" s="10" t="n"/>
      <c r="I114" s="10" t="n"/>
      <c r="J114" s="10" t="n"/>
      <c r="K114" s="10" t="n"/>
      <c r="L114" s="11" t="n"/>
      <c r="M114" s="11" t="n"/>
      <c r="N114" s="12">
        <f>IF(H114="Accept",D114,IF(H114="Use row",I114,""))</f>
        <v/>
      </c>
      <c r="O114" s="12">
        <f>IF(H114="Manual",IF(J114="","",J114),IF(N114="","",IFERROR(INDEX('Book rows'!$D$2:$D$392,MATCH(N114,'Book rows'!$A$2:$A$392,0)),"row not found")))</f>
        <v/>
      </c>
      <c r="P114" s="12">
        <f>IF(H114="Manual",IF(K114="","",K114),IF(N114="","",IFERROR(INDEX('Book rows'!$E$2:$E$392,MATCH(N114,'Book rows'!$A$2:$A$392,0)),"row not found")))</f>
        <v/>
      </c>
      <c r="Q114" s="13">
        <f>IF(H114="Manual",IF(L114="","",L114),IF(N114="","",IFERROR(INDEX('Book rows'!$F$2:$F$392,MATCH(N114,'Book rows'!$A$2:$A$392,0)),"row not found")))</f>
        <v/>
      </c>
    </row>
    <row r="115">
      <c r="A115" s="8" t="inlineStr">
        <is>
          <t>Proficiency: Animal Handling</t>
        </is>
      </c>
      <c r="B115" s="8" t="inlineStr">
        <is>
          <t>Zdatnost: Zacházení se zvířaty</t>
        </is>
      </c>
      <c r="C115" s="8" t="inlineStr">
        <is>
          <t>Features / Proficiencies</t>
        </is>
      </c>
      <c r="D115" s="8" t="n"/>
      <c r="E115" s="8" t="n"/>
      <c r="F115" s="9" t="inlineStr">
        <is>
          <t>No book row: Proficiency features appear in no rules sheet</t>
        </is>
      </c>
      <c r="G115" s="9" t="inlineStr">
        <is>
          <t>r438 Spojení se zvířaty (0.64); r275 Společník zvířat (0.49); r80 Nezdolnost kamene (0.48); r207 *Dovednost C*: Expert (0.47); r195 *Dovednost A*: Expert (0.47)</t>
        </is>
      </c>
      <c r="H115" s="10" t="n"/>
      <c r="I115" s="10" t="n"/>
      <c r="J115" s="10" t="n"/>
      <c r="K115" s="10" t="n"/>
      <c r="L115" s="11" t="n"/>
      <c r="M115" s="11" t="n"/>
      <c r="N115" s="12">
        <f>IF(H115="Accept",D115,IF(H115="Use row",I115,""))</f>
        <v/>
      </c>
      <c r="O115" s="12">
        <f>IF(H115="Manual",IF(J115="","",J115),IF(N115="","",IFERROR(INDEX('Book rows'!$D$2:$D$392,MATCH(N115,'Book rows'!$A$2:$A$392,0)),"row not found")))</f>
        <v/>
      </c>
      <c r="P115" s="12">
        <f>IF(H115="Manual",IF(K115="","",K115),IF(N115="","",IFERROR(INDEX('Book rows'!$E$2:$E$392,MATCH(N115,'Book rows'!$A$2:$A$392,0)),"row not found")))</f>
        <v/>
      </c>
      <c r="Q115" s="13">
        <f>IF(H115="Manual",IF(L115="","",L115),IF(N115="","",IFERROR(INDEX('Book rows'!$F$2:$F$392,MATCH(N115,'Book rows'!$A$2:$A$392,0)),"row not found")))</f>
        <v/>
      </c>
    </row>
    <row r="116">
      <c r="A116" s="8" t="inlineStr">
        <is>
          <t>Proficiency: Arcana</t>
        </is>
      </c>
      <c r="B116" s="8" t="inlineStr">
        <is>
          <t>Zdatnost: Arcana</t>
        </is>
      </c>
      <c r="C116" s="8" t="inlineStr">
        <is>
          <t>Features / Proficiencies</t>
        </is>
      </c>
      <c r="D116" s="8" t="n"/>
      <c r="E116" s="8" t="n"/>
      <c r="F116" s="9" t="inlineStr">
        <is>
          <t>No book row: Proficiency features appear in no rules sheet</t>
        </is>
      </c>
      <c r="G116" s="9" t="inlineStr">
        <is>
          <t>r80 Nezdolnost kamene (0.56); r168 Zbloudilá rána (0.55); r785 Znalost dynastie (0.52); r338 Plošná obrana (0.50); r197 *Dovednost A*: Mistr (0.50)</t>
        </is>
      </c>
      <c r="H116" s="10" t="n"/>
      <c r="I116" s="10" t="n"/>
      <c r="J116" s="10" t="n"/>
      <c r="K116" s="10" t="n"/>
      <c r="L116" s="11" t="n"/>
      <c r="M116" s="11" t="n"/>
      <c r="N116" s="12">
        <f>IF(H116="Accept",D116,IF(H116="Use row",I116,""))</f>
        <v/>
      </c>
      <c r="O116" s="12">
        <f>IF(H116="Manual",IF(J116="","",J116),IF(N116="","",IFERROR(INDEX('Book rows'!$D$2:$D$392,MATCH(N116,'Book rows'!$A$2:$A$392,0)),"row not found")))</f>
        <v/>
      </c>
      <c r="P116" s="12">
        <f>IF(H116="Manual",IF(K116="","",K116),IF(N116="","",IFERROR(INDEX('Book rows'!$E$2:$E$392,MATCH(N116,'Book rows'!$A$2:$A$392,0)),"row not found")))</f>
        <v/>
      </c>
      <c r="Q116" s="13">
        <f>IF(H116="Manual",IF(L116="","",L116),IF(N116="","",IFERROR(INDEX('Book rows'!$F$2:$F$392,MATCH(N116,'Book rows'!$A$2:$A$392,0)),"row not found")))</f>
        <v/>
      </c>
    </row>
    <row r="117">
      <c r="A117" s="8" t="inlineStr">
        <is>
          <t>Proficiency: Athletics</t>
        </is>
      </c>
      <c r="B117" s="8" t="inlineStr">
        <is>
          <t>Zdatnost: Atletika</t>
        </is>
      </c>
      <c r="C117" s="8" t="inlineStr">
        <is>
          <t>Features / Proficiencies</t>
        </is>
      </c>
      <c r="D117" s="8" t="n"/>
      <c r="E117" s="8" t="n"/>
      <c r="F117" s="9" t="inlineStr">
        <is>
          <t>No book row: Proficiency features appear in no rules sheet</t>
        </is>
      </c>
      <c r="G117" s="9" t="inlineStr">
        <is>
          <t>r785 Znalost dynastie (0.55); r80 Nezdolnost kamene (0.53); r64 Jednooký válečník (0.53); r623 Odolnost na jedy I (0.51); r639 Odolnost na jedy II (0.50)</t>
        </is>
      </c>
      <c r="H117" s="10" t="n"/>
      <c r="I117" s="10" t="n"/>
      <c r="J117" s="10" t="n"/>
      <c r="K117" s="10" t="n"/>
      <c r="L117" s="11" t="n"/>
      <c r="M117" s="11" t="n"/>
      <c r="N117" s="12">
        <f>IF(H117="Accept",D117,IF(H117="Use row",I117,""))</f>
        <v/>
      </c>
      <c r="O117" s="12">
        <f>IF(H117="Manual",IF(J117="","",J117),IF(N117="","",IFERROR(INDEX('Book rows'!$D$2:$D$392,MATCH(N117,'Book rows'!$A$2:$A$392,0)),"row not found")))</f>
        <v/>
      </c>
      <c r="P117" s="12">
        <f>IF(H117="Manual",IF(K117="","",K117),IF(N117="","",IFERROR(INDEX('Book rows'!$E$2:$E$392,MATCH(N117,'Book rows'!$A$2:$A$392,0)),"row not found")))</f>
        <v/>
      </c>
      <c r="Q117" s="13">
        <f>IF(H117="Manual",IF(L117="","",L117),IF(N117="","",IFERROR(INDEX('Book rows'!$F$2:$F$392,MATCH(N117,'Book rows'!$A$2:$A$392,0)),"row not found")))</f>
        <v/>
      </c>
    </row>
    <row r="118">
      <c r="A118" s="8" t="inlineStr">
        <is>
          <t>Proficiency: First aid</t>
        </is>
      </c>
      <c r="B118" s="8" t="inlineStr">
        <is>
          <t>Zdatnost: Ranhojičství</t>
        </is>
      </c>
      <c r="C118" s="8" t="inlineStr">
        <is>
          <t>Features / Proficiencies</t>
        </is>
      </c>
      <c r="D118" s="8" t="n"/>
      <c r="E118" s="8" t="n"/>
      <c r="F118" s="9" t="inlineStr">
        <is>
          <t>No book row: Proficiency features appear in no rules sheet</t>
        </is>
      </c>
      <c r="G118" s="9" t="inlineStr">
        <is>
          <t>r785 Znalost dynastie (0.54); r197 *Dovednost A*: Mistr (0.53); r639 Odolnost na jedy II (0.50); r80 Nezdolnost kamene (0.47); r209 *Dovednost C*: Mistr (0.47)</t>
        </is>
      </c>
      <c r="H118" s="10" t="n"/>
      <c r="I118" s="10" t="n"/>
      <c r="J118" s="10" t="n"/>
      <c r="K118" s="10" t="n"/>
      <c r="L118" s="11" t="n"/>
      <c r="M118" s="11" t="n"/>
      <c r="N118" s="12">
        <f>IF(H118="Accept",D118,IF(H118="Use row",I118,""))</f>
        <v/>
      </c>
      <c r="O118" s="12">
        <f>IF(H118="Manual",IF(J118="","",J118),IF(N118="","",IFERROR(INDEX('Book rows'!$D$2:$D$392,MATCH(N118,'Book rows'!$A$2:$A$392,0)),"row not found")))</f>
        <v/>
      </c>
      <c r="P118" s="12">
        <f>IF(H118="Manual",IF(K118="","",K118),IF(N118="","",IFERROR(INDEX('Book rows'!$E$2:$E$392,MATCH(N118,'Book rows'!$A$2:$A$392,0)),"row not found")))</f>
        <v/>
      </c>
      <c r="Q118" s="13">
        <f>IF(H118="Manual",IF(L118="","",L118),IF(N118="","",IFERROR(INDEX('Book rows'!$F$2:$F$392,MATCH(N118,'Book rows'!$A$2:$A$392,0)),"row not found")))</f>
        <v/>
      </c>
    </row>
    <row r="119">
      <c r="A119" s="8" t="inlineStr">
        <is>
          <t>Proficiency: Leadership</t>
        </is>
      </c>
      <c r="B119" s="8" t="inlineStr">
        <is>
          <t>Zdatnost: Velení</t>
        </is>
      </c>
      <c r="C119" s="8" t="inlineStr">
        <is>
          <t>Features / Proficiencies</t>
        </is>
      </c>
      <c r="D119" s="8" t="n"/>
      <c r="E119" s="8" t="n"/>
      <c r="F119" s="9" t="inlineStr">
        <is>
          <t>No book row: Proficiency features appear in no rules sheet</t>
        </is>
      </c>
      <c r="G119" s="9" t="inlineStr">
        <is>
          <t>r60 Jízdní střelec I (0.58); r80 Nezdolnost kamene (0.56); r62 Jízdní střelec II (0.56); r64 Jednooký válečník (0.56); r307 Zocelený (0.52)</t>
        </is>
      </c>
      <c r="H119" s="10" t="n"/>
      <c r="I119" s="10" t="n"/>
      <c r="J119" s="10" t="n"/>
      <c r="K119" s="10" t="n"/>
      <c r="L119" s="11" t="n"/>
      <c r="M119" s="11" t="n"/>
      <c r="N119" s="12">
        <f>IF(H119="Accept",D119,IF(H119="Use row",I119,""))</f>
        <v/>
      </c>
      <c r="O119" s="12">
        <f>IF(H119="Manual",IF(J119="","",J119),IF(N119="","",IFERROR(INDEX('Book rows'!$D$2:$D$392,MATCH(N119,'Book rows'!$A$2:$A$392,0)),"row not found")))</f>
        <v/>
      </c>
      <c r="P119" s="12">
        <f>IF(H119="Manual",IF(K119="","",K119),IF(N119="","",IFERROR(INDEX('Book rows'!$E$2:$E$392,MATCH(N119,'Book rows'!$A$2:$A$392,0)),"row not found")))</f>
        <v/>
      </c>
      <c r="Q119" s="13">
        <f>IF(H119="Manual",IF(L119="","",L119),IF(N119="","",IFERROR(INDEX('Book rows'!$F$2:$F$392,MATCH(N119,'Book rows'!$A$2:$A$392,0)),"row not found")))</f>
        <v/>
      </c>
    </row>
    <row r="120">
      <c r="A120" s="8" t="inlineStr">
        <is>
          <t>Proficiency: Lockpicking</t>
        </is>
      </c>
      <c r="B120" s="8" t="inlineStr">
        <is>
          <t>Zdatnost: Odemykání zámků</t>
        </is>
      </c>
      <c r="C120" s="8" t="inlineStr">
        <is>
          <t>Features / Proficiencies</t>
        </is>
      </c>
      <c r="D120" s="8" t="n"/>
      <c r="E120" s="8" t="n"/>
      <c r="F120" s="9" t="inlineStr">
        <is>
          <t>No book row: Proficiency features appear in no rules sheet</t>
        </is>
      </c>
      <c r="G120" s="9" t="inlineStr">
        <is>
          <t>r80 Nezdolnost kamene (0.49); r692 Drogový maniak (0.47); r623 Odolnost na jedy I (0.43); r639 Odolnost na jedy II (0.42); r625 Ještěří žaludek (0.41)</t>
        </is>
      </c>
      <c r="H120" s="10" t="n"/>
      <c r="I120" s="10" t="n"/>
      <c r="J120" s="10" t="n"/>
      <c r="K120" s="10" t="n"/>
      <c r="L120" s="11" t="n"/>
      <c r="M120" s="11" t="n"/>
      <c r="N120" s="12">
        <f>IF(H120="Accept",D120,IF(H120="Use row",I120,""))</f>
        <v/>
      </c>
      <c r="O120" s="12">
        <f>IF(H120="Manual",IF(J120="","",J120),IF(N120="","",IFERROR(INDEX('Book rows'!$D$2:$D$392,MATCH(N120,'Book rows'!$A$2:$A$392,0)),"row not found")))</f>
        <v/>
      </c>
      <c r="P120" s="12">
        <f>IF(H120="Manual",IF(K120="","",K120),IF(N120="","",IFERROR(INDEX('Book rows'!$E$2:$E$392,MATCH(N120,'Book rows'!$A$2:$A$392,0)),"row not found")))</f>
        <v/>
      </c>
      <c r="Q120" s="13">
        <f>IF(H120="Manual",IF(L120="","",L120),IF(N120="","",IFERROR(INDEX('Book rows'!$F$2:$F$392,MATCH(N120,'Book rows'!$A$2:$A$392,0)),"row not found")))</f>
        <v/>
      </c>
    </row>
    <row r="121">
      <c r="A121" s="8" t="inlineStr">
        <is>
          <t>Proficiency: Pickpocketing</t>
        </is>
      </c>
      <c r="B121" s="8" t="inlineStr">
        <is>
          <t>Zdatnost: Kapsářství</t>
        </is>
      </c>
      <c r="C121" s="8" t="inlineStr">
        <is>
          <t>Features / Proficiencies</t>
        </is>
      </c>
      <c r="D121" s="8" t="n"/>
      <c r="E121" s="8" t="n"/>
      <c r="F121" s="9" t="inlineStr">
        <is>
          <t>No book row: Proficiency features appear in no rules sheet</t>
        </is>
      </c>
      <c r="G121" s="9" t="inlineStr">
        <is>
          <t>r785 Znalost dynastie (0.57); r195 *Dovednost A*: Expert (0.54); r80 Nezdolnost kamene (0.50); r205 *Dovednost C*: Adept (0.50); r199 *Dovednost B*: Adept (0.50)</t>
        </is>
      </c>
      <c r="H121" s="10" t="n"/>
      <c r="I121" s="10" t="n"/>
      <c r="J121" s="10" t="n"/>
      <c r="K121" s="10" t="n"/>
      <c r="L121" s="11" t="n"/>
      <c r="M121" s="11" t="n"/>
      <c r="N121" s="12">
        <f>IF(H121="Accept",D121,IF(H121="Use row",I121,""))</f>
        <v/>
      </c>
      <c r="O121" s="12">
        <f>IF(H121="Manual",IF(J121="","",J121),IF(N121="","",IFERROR(INDEX('Book rows'!$D$2:$D$392,MATCH(N121,'Book rows'!$A$2:$A$392,0)),"row not found")))</f>
        <v/>
      </c>
      <c r="P121" s="12">
        <f>IF(H121="Manual",IF(K121="","",K121),IF(N121="","",IFERROR(INDEX('Book rows'!$E$2:$E$392,MATCH(N121,'Book rows'!$A$2:$A$392,0)),"row not found")))</f>
        <v/>
      </c>
      <c r="Q121" s="13">
        <f>IF(H121="Manual",IF(L121="","",L121),IF(N121="","",IFERROR(INDEX('Book rows'!$F$2:$F$392,MATCH(N121,'Book rows'!$A$2:$A$392,0)),"row not found")))</f>
        <v/>
      </c>
    </row>
    <row r="122">
      <c r="A122" s="8" t="inlineStr">
        <is>
          <t>Proficiency: Research</t>
        </is>
      </c>
      <c r="B122" s="8" t="inlineStr">
        <is>
          <t>Zdatnost: Výzkum</t>
        </is>
      </c>
      <c r="C122" s="8" t="inlineStr">
        <is>
          <t>Features / Proficiencies</t>
        </is>
      </c>
      <c r="D122" s="8" t="n"/>
      <c r="E122" s="8" t="n"/>
      <c r="F122" s="9" t="inlineStr">
        <is>
          <t>No book row: Proficiency features appear in no rules sheet</t>
        </is>
      </c>
      <c r="G122" s="9" t="inlineStr">
        <is>
          <t>r80 Nezdolnost kamene (0.56); r659 Dračí výdrž (0.46); r785 Znalost dynastie (0.45); r732 Radost z mizérie (0.45); r56 Houževnatost (0.44)</t>
        </is>
      </c>
      <c r="H122" s="10" t="n"/>
      <c r="I122" s="10" t="n"/>
      <c r="J122" s="10" t="n"/>
      <c r="K122" s="10" t="n"/>
      <c r="L122" s="11" t="n"/>
      <c r="M122" s="11" t="n"/>
      <c r="N122" s="12">
        <f>IF(H122="Accept",D122,IF(H122="Use row",I122,""))</f>
        <v/>
      </c>
      <c r="O122" s="12">
        <f>IF(H122="Manual",IF(J122="","",J122),IF(N122="","",IFERROR(INDEX('Book rows'!$D$2:$D$392,MATCH(N122,'Book rows'!$A$2:$A$392,0)),"row not found")))</f>
        <v/>
      </c>
      <c r="P122" s="12">
        <f>IF(H122="Manual",IF(K122="","",K122),IF(N122="","",IFERROR(INDEX('Book rows'!$E$2:$E$392,MATCH(N122,'Book rows'!$A$2:$A$392,0)),"row not found")))</f>
        <v/>
      </c>
      <c r="Q122" s="13">
        <f>IF(H122="Manual",IF(L122="","",L122),IF(N122="","",IFERROR(INDEX('Book rows'!$F$2:$F$392,MATCH(N122,'Book rows'!$A$2:$A$392,0)),"row not found")))</f>
        <v/>
      </c>
    </row>
    <row r="123">
      <c r="A123" s="8" t="inlineStr">
        <is>
          <t>Proficiency: Stealth</t>
        </is>
      </c>
      <c r="B123" s="8" t="inlineStr">
        <is>
          <t>Zdatnost: Plížení</t>
        </is>
      </c>
      <c r="C123" s="8" t="inlineStr">
        <is>
          <t>Features / Proficiencies</t>
        </is>
      </c>
      <c r="D123" s="8" t="n"/>
      <c r="E123" s="8" t="n"/>
      <c r="F123" s="9" t="inlineStr">
        <is>
          <t>No book row: Proficiency features appear in no rules sheet</t>
        </is>
      </c>
      <c r="G123" s="9" t="inlineStr">
        <is>
          <t>r732 Radost z mizérie (0.56); r80 Nezdolnost kamene (0.55); r477 Lidská umíněnost II (0.51); r785 Znalost dynastie (0.50); r144 Snadné přebíjení (0.50)</t>
        </is>
      </c>
      <c r="H123" s="10" t="n"/>
      <c r="I123" s="10" t="n"/>
      <c r="J123" s="10" t="n"/>
      <c r="K123" s="10" t="n"/>
      <c r="L123" s="11" t="n"/>
      <c r="M123" s="11" t="n"/>
      <c r="N123" s="12">
        <f>IF(H123="Accept",D123,IF(H123="Use row",I123,""))</f>
        <v/>
      </c>
      <c r="O123" s="12">
        <f>IF(H123="Manual",IF(J123="","",J123),IF(N123="","",IFERROR(INDEX('Book rows'!$D$2:$D$392,MATCH(N123,'Book rows'!$A$2:$A$392,0)),"row not found")))</f>
        <v/>
      </c>
      <c r="P123" s="12">
        <f>IF(H123="Manual",IF(K123="","",K123),IF(N123="","",IFERROR(INDEX('Book rows'!$E$2:$E$392,MATCH(N123,'Book rows'!$A$2:$A$392,0)),"row not found")))</f>
        <v/>
      </c>
      <c r="Q123" s="13">
        <f>IF(H123="Manual",IF(L123="","",L123),IF(N123="","",IFERROR(INDEX('Book rows'!$F$2:$F$392,MATCH(N123,'Book rows'!$A$2:$A$392,0)),"row not found")))</f>
        <v/>
      </c>
    </row>
    <row r="124">
      <c r="A124" s="8" t="inlineStr">
        <is>
          <t>Proficiency: Traps</t>
        </is>
      </c>
      <c r="B124" s="8" t="inlineStr">
        <is>
          <t>Zdatnost: Pasti</t>
        </is>
      </c>
      <c r="C124" s="8" t="inlineStr">
        <is>
          <t>Features / Proficiencies</t>
        </is>
      </c>
      <c r="D124" s="8" t="n"/>
      <c r="E124" s="8" t="n"/>
      <c r="F124" s="9" t="inlineStr">
        <is>
          <t>No book row: Proficiency features appear in no rules sheet</t>
        </is>
      </c>
      <c r="G124" s="9" t="inlineStr">
        <is>
          <t>r785 Znalost dynastie (0.67); r241 Mistr pastí (0.64); r197 *Dovednost A*: Mistr (0.58); r766 Aspekt Pomsty (0.52); r80 Nezdolnost kamene (0.52)</t>
        </is>
      </c>
      <c r="H124" s="10" t="n"/>
      <c r="I124" s="10" t="n"/>
      <c r="J124" s="10" t="n"/>
      <c r="K124" s="10" t="n"/>
      <c r="L124" s="11" t="n"/>
      <c r="M124" s="11" t="n"/>
      <c r="N124" s="12">
        <f>IF(H124="Accept",D124,IF(H124="Use row",I124,""))</f>
        <v/>
      </c>
      <c r="O124" s="12">
        <f>IF(H124="Manual",IF(J124="","",J124),IF(N124="","",IFERROR(INDEX('Book rows'!$D$2:$D$392,MATCH(N124,'Book rows'!$A$2:$A$392,0)),"row not found")))</f>
        <v/>
      </c>
      <c r="P124" s="12">
        <f>IF(H124="Manual",IF(K124="","",K124),IF(N124="","",IFERROR(INDEX('Book rows'!$E$2:$E$392,MATCH(N124,'Book rows'!$A$2:$A$392,0)),"row not found")))</f>
        <v/>
      </c>
      <c r="Q124" s="13">
        <f>IF(H124="Manual",IF(L124="","",L124),IF(N124="","",IFERROR(INDEX('Book rows'!$F$2:$F$392,MATCH(N124,'Book rows'!$A$2:$A$392,0)),"row not found")))</f>
        <v/>
      </c>
    </row>
    <row r="125">
      <c r="A125" s="8" t="inlineStr">
        <is>
          <t>Calm Body</t>
        </is>
      </c>
      <c r="B125" s="8" t="inlineStr">
        <is>
          <t>Klidné tělo</t>
        </is>
      </c>
      <c r="C125" s="8" t="inlineStr">
        <is>
          <t>Features / Trait Features</t>
        </is>
      </c>
      <c r="D125" s="8" t="n">
        <v>227</v>
      </c>
      <c r="E125" s="8" t="inlineStr">
        <is>
          <t>Klid těla</t>
        </is>
      </c>
      <c r="F125" s="9" t="inlineStr">
        <is>
          <t>Weak name match (0.80); likely wrong</t>
        </is>
      </c>
      <c r="G125" s="9" t="inlineStr">
        <is>
          <t>r388 Čisté tělo (0.67); r229 Klidná mysl (0.64); r231 Lidem milovaný (0.56); r557 Klidná hladina (0.56)</t>
        </is>
      </c>
      <c r="H125" s="10" t="n"/>
      <c r="I125" s="10" t="n"/>
      <c r="J125" s="10" t="n"/>
      <c r="K125" s="10" t="n"/>
      <c r="L125" s="11" t="n"/>
      <c r="M125" s="11" t="n"/>
      <c r="N125" s="12">
        <f>IF(H125="Accept",D125,IF(H125="Use row",I125,""))</f>
        <v/>
      </c>
      <c r="O125" s="12">
        <f>IF(H125="Manual",IF(J125="","",J125),IF(N125="","",IFERROR(INDEX('Book rows'!$D$2:$D$392,MATCH(N125,'Book rows'!$A$2:$A$392,0)),"row not found")))</f>
        <v/>
      </c>
      <c r="P125" s="12">
        <f>IF(H125="Manual",IF(K125="","",K125),IF(N125="","",IFERROR(INDEX('Book rows'!$E$2:$E$392,MATCH(N125,'Book rows'!$A$2:$A$392,0)),"row not found")))</f>
        <v/>
      </c>
      <c r="Q125" s="13">
        <f>IF(H125="Manual",IF(L125="","",L125),IF(N125="","",IFERROR(INDEX('Book rows'!$F$2:$F$392,MATCH(N125,'Book rows'!$A$2:$A$392,0)),"row not found")))</f>
        <v/>
      </c>
    </row>
  </sheetData>
  <autoFilter ref="A1:Q125"/>
  <dataValidations count="2">
    <dataValidation sqref="H2:H125" showDropDown="0" showInputMessage="0" showErrorMessage="0" allowBlank="1" type="list">
      <formula1>"Accept,Use row,Manual,Not buyable"</formula1>
    </dataValidation>
    <dataValidation sqref="K2:K125" showDropDown="0" showInputMessage="0" showErrorMessage="0" allowBlank="1" type="list">
      <formula1>"CP,SP"</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4" customWidth="1" min="3" max="3"/>
    <col width="26" customWidth="1" min="4" max="4"/>
    <col width="10" customWidth="1" min="5" max="5"/>
    <col width="30" customWidth="1" min="6" max="6"/>
    <col width="7" customWidth="1" min="7" max="7"/>
    <col width="9" customWidth="1" min="8" max="8"/>
    <col width="45" customWidth="1" min="9" max="9"/>
  </cols>
  <sheetData>
    <row r="1">
      <c r="A1" s="4" t="inlineStr">
        <is>
          <t>Pack feature (English)</t>
        </is>
      </c>
      <c r="B1" s="4" t="inlineStr">
        <is>
          <t>Czech name</t>
        </is>
      </c>
      <c r="C1" s="4" t="inlineStr">
        <is>
          <t>Pack folder</t>
        </is>
      </c>
      <c r="D1" s="4" t="inlineStr">
        <is>
          <t>How matched</t>
        </is>
      </c>
      <c r="E1" s="4" t="inlineStr">
        <is>
          <t>Book row #</t>
        </is>
      </c>
      <c r="F1" s="4" t="inlineStr">
        <is>
          <t>Book name</t>
        </is>
      </c>
      <c r="G1" s="4" t="inlineStr">
        <is>
          <t>Cost</t>
        </is>
      </c>
      <c r="H1" s="4" t="inlineStr">
        <is>
          <t>Currency</t>
        </is>
      </c>
      <c r="I1" s="4" t="inlineStr">
        <is>
          <t>Requirements</t>
        </is>
      </c>
    </row>
    <row r="2">
      <c r="A2" s="8" t="inlineStr">
        <is>
          <t>Armor Training I</t>
        </is>
      </c>
      <c r="B2" s="8" t="inlineStr">
        <is>
          <t>Výcvik se zbrojí I</t>
        </is>
      </c>
      <c r="C2" s="8" t="inlineStr">
        <is>
          <t>Features / Combat features</t>
        </is>
      </c>
      <c r="D2" s="8" t="inlineStr">
        <is>
          <t>Exact Czech name</t>
        </is>
      </c>
      <c r="E2" s="8" t="n">
        <v>162</v>
      </c>
      <c r="F2" s="8" t="inlineStr">
        <is>
          <t>Výcvik se zbrojí I</t>
        </is>
      </c>
      <c r="G2" s="8" t="n">
        <v>5</v>
      </c>
      <c r="H2" s="8" t="inlineStr">
        <is>
          <t>CP</t>
        </is>
      </c>
      <c r="I2" s="9" t="inlineStr">
        <is>
          <t>Odolnost 3; Učitel I</t>
        </is>
      </c>
    </row>
    <row r="3">
      <c r="A3" s="8" t="inlineStr">
        <is>
          <t>Armor Training II</t>
        </is>
      </c>
      <c r="B3" s="8" t="inlineStr">
        <is>
          <t>Výcvik se zbrojí II</t>
        </is>
      </c>
      <c r="C3" s="8" t="inlineStr">
        <is>
          <t>Features / Combat features</t>
        </is>
      </c>
      <c r="D3" s="8" t="inlineStr">
        <is>
          <t>Exact Czech name</t>
        </is>
      </c>
      <c r="E3" s="8" t="n">
        <v>164</v>
      </c>
      <c r="F3" s="8" t="inlineStr">
        <is>
          <t>Výcvik se zbrojí II</t>
        </is>
      </c>
      <c r="G3" s="8" t="n">
        <v>10</v>
      </c>
      <c r="H3" s="8" t="inlineStr">
        <is>
          <t>CP</t>
        </is>
      </c>
      <c r="I3" s="9" t="inlineStr">
        <is>
          <t>Učitel I</t>
        </is>
      </c>
    </row>
    <row r="4">
      <c r="A4" s="8" t="inlineStr">
        <is>
          <t>Cleaver Cleave</t>
        </is>
      </c>
      <c r="B4" s="8" t="inlineStr">
        <is>
          <t>Rozseknutí sekáčkem</t>
        </is>
      </c>
      <c r="C4" s="8" t="inlineStr">
        <is>
          <t>Features / Combat features</t>
        </is>
      </c>
      <c r="D4" s="8" t="inlineStr">
        <is>
          <t>Exact Czech name</t>
        </is>
      </c>
      <c r="E4" s="8" t="n">
        <v>132</v>
      </c>
      <c r="F4" s="8" t="inlineStr">
        <is>
          <t>Rozseknutí sekáčkem</t>
        </is>
      </c>
      <c r="G4" s="8" t="n">
        <v>10</v>
      </c>
      <c r="H4" s="8" t="inlineStr">
        <is>
          <t>CP</t>
        </is>
      </c>
      <c r="I4" s="9" t="inlineStr">
        <is>
          <t>Meče V</t>
        </is>
      </c>
    </row>
    <row r="5">
      <c r="A5" s="8" t="inlineStr">
        <is>
          <t>Combat Genius II</t>
        </is>
      </c>
      <c r="B5" s="8" t="inlineStr">
        <is>
          <t>Bojový génius II</t>
        </is>
      </c>
      <c r="C5" s="8" t="inlineStr">
        <is>
          <t>Features / Combat features</t>
        </is>
      </c>
      <c r="D5" s="8" t="inlineStr">
        <is>
          <t>Exact Czech name</t>
        </is>
      </c>
      <c r="E5" s="8" t="n">
        <v>40</v>
      </c>
      <c r="F5" s="8" t="inlineStr">
        <is>
          <t>Bojový génius II</t>
        </is>
      </c>
      <c r="G5" s="8" t="n">
        <v>10</v>
      </c>
      <c r="H5" s="8" t="inlineStr">
        <is>
          <t>CP</t>
        </is>
      </c>
      <c r="I5" s="9" t="inlineStr">
        <is>
          <t>Bojový génius I; Doktrína VI; Inteligence 5</t>
        </is>
      </c>
    </row>
    <row r="6">
      <c r="A6" s="8" t="inlineStr">
        <is>
          <t>Finesse</t>
        </is>
      </c>
      <c r="B6" s="8" t="inlineStr">
        <is>
          <t>Finesa</t>
        </is>
      </c>
      <c r="C6" s="8" t="inlineStr">
        <is>
          <t>Features / Combat features</t>
        </is>
      </c>
      <c r="D6" s="8" t="inlineStr">
        <is>
          <t>Exact Czech name</t>
        </is>
      </c>
      <c r="E6" s="8" t="n">
        <v>50</v>
      </c>
      <c r="F6" s="8" t="inlineStr">
        <is>
          <t>Finesa</t>
        </is>
      </c>
      <c r="G6" s="8" t="n">
        <v>10</v>
      </c>
      <c r="H6" s="8" t="inlineStr">
        <is>
          <t>CP</t>
        </is>
      </c>
      <c r="I6" s="9" t="inlineStr">
        <is>
          <t>Obratnost 3; Učitel I;
Obratnost &gt; Síla</t>
        </is>
      </c>
    </row>
    <row r="7">
      <c r="A7" s="8" t="inlineStr">
        <is>
          <t>Flamberge Cleave</t>
        </is>
      </c>
      <c r="B7" s="8" t="inlineStr">
        <is>
          <t>Rozseknutí flambergem</t>
        </is>
      </c>
      <c r="C7" s="8" t="inlineStr">
        <is>
          <t>Features / Combat features</t>
        </is>
      </c>
      <c r="D7" s="8" t="inlineStr">
        <is>
          <t>Exact Czech name</t>
        </is>
      </c>
      <c r="E7" s="8" t="n">
        <v>130</v>
      </c>
      <c r="F7" s="8" t="inlineStr">
        <is>
          <t>Rozseknutí flambergem</t>
        </is>
      </c>
      <c r="G7" s="8" t="n">
        <v>5</v>
      </c>
      <c r="H7" s="8" t="inlineStr">
        <is>
          <t>CP</t>
        </is>
      </c>
      <c r="I7" s="9" t="inlineStr">
        <is>
          <t>Šermíř IV</t>
        </is>
      </c>
    </row>
    <row r="8">
      <c r="A8" s="8" t="inlineStr">
        <is>
          <t>Free hand I</t>
        </is>
      </c>
      <c r="B8" s="8" t="inlineStr">
        <is>
          <t>Volná ruka I</t>
        </is>
      </c>
      <c r="C8" s="8" t="inlineStr">
        <is>
          <t>Features / Combat features</t>
        </is>
      </c>
      <c r="D8" s="8" t="inlineStr">
        <is>
          <t>Exact Czech name</t>
        </is>
      </c>
      <c r="E8" s="8" t="n">
        <v>158</v>
      </c>
      <c r="F8" s="8" t="inlineStr">
        <is>
          <t>Volná ruka I</t>
        </is>
      </c>
      <c r="G8" s="8" t="n">
        <v>10</v>
      </c>
      <c r="H8" s="8" t="inlineStr">
        <is>
          <t>CP</t>
        </is>
      </c>
      <c r="I8" s="9" t="inlineStr">
        <is>
          <t>Duelista III</t>
        </is>
      </c>
    </row>
    <row r="9">
      <c r="A9" s="8" t="inlineStr">
        <is>
          <t>Free hand II</t>
        </is>
      </c>
      <c r="B9" s="8" t="inlineStr">
        <is>
          <t>Volná ruka II</t>
        </is>
      </c>
      <c r="C9" s="8" t="inlineStr">
        <is>
          <t>Features / Combat features</t>
        </is>
      </c>
      <c r="D9" s="8" t="inlineStr">
        <is>
          <t>Exact Czech name</t>
        </is>
      </c>
      <c r="E9" s="8" t="n">
        <v>160</v>
      </c>
      <c r="F9" s="8" t="inlineStr">
        <is>
          <t>Volná ruka II</t>
        </is>
      </c>
      <c r="G9" s="8" t="n">
        <v>10</v>
      </c>
      <c r="H9" s="8" t="inlineStr">
        <is>
          <t>CP</t>
        </is>
      </c>
      <c r="I9" s="9" t="inlineStr">
        <is>
          <t>Volná Ruka I; Duelista V</t>
        </is>
      </c>
    </row>
    <row r="10">
      <c r="A10" s="8" t="inlineStr">
        <is>
          <t>Fuscina Ictus</t>
        </is>
      </c>
      <c r="B10" s="8" t="inlineStr">
        <is>
          <t>Fuscina Ictus</t>
        </is>
      </c>
      <c r="C10" s="8" t="inlineStr">
        <is>
          <t>Features / Combat features</t>
        </is>
      </c>
      <c r="D10" s="8" t="inlineStr">
        <is>
          <t>Exact Czech name</t>
        </is>
      </c>
      <c r="E10" s="8" t="n">
        <v>52</v>
      </c>
      <c r="F10" s="8" t="inlineStr">
        <is>
          <t>Fuscina Ictus</t>
        </is>
      </c>
      <c r="G10" s="8" t="n">
        <v>5</v>
      </c>
      <c r="H10" s="8" t="inlineStr">
        <is>
          <t>CP</t>
        </is>
      </c>
      <c r="I10" s="9" t="inlineStr">
        <is>
          <t>Dřevcové V</t>
        </is>
      </c>
    </row>
    <row r="11">
      <c r="A11" s="8" t="inlineStr">
        <is>
          <t>Imbroccata</t>
        </is>
      </c>
      <c r="B11" s="8" t="inlineStr">
        <is>
          <t>Imbroccata</t>
        </is>
      </c>
      <c r="C11" s="8" t="inlineStr">
        <is>
          <t>Features / Combat features</t>
        </is>
      </c>
      <c r="D11" s="8" t="inlineStr">
        <is>
          <t>Exact Czech name</t>
        </is>
      </c>
      <c r="E11" s="8" t="n">
        <v>58</v>
      </c>
      <c r="F11" s="8" t="inlineStr">
        <is>
          <t>Imbroccata</t>
        </is>
      </c>
      <c r="G11" s="8" t="n">
        <v>5</v>
      </c>
      <c r="H11" s="8" t="inlineStr">
        <is>
          <t>CP</t>
        </is>
      </c>
      <c r="I11" s="9" t="inlineStr">
        <is>
          <t>Meče III</t>
        </is>
      </c>
    </row>
    <row r="12">
      <c r="A12" s="8" t="inlineStr">
        <is>
          <t>Indestructible</t>
        </is>
      </c>
      <c r="B12" s="8" t="inlineStr">
        <is>
          <t>Nezničitelný</t>
        </is>
      </c>
      <c r="C12" s="8" t="inlineStr">
        <is>
          <t>Features / Combat features</t>
        </is>
      </c>
      <c r="D12" s="8" t="inlineStr">
        <is>
          <t>Exact Czech name</t>
        </is>
      </c>
      <c r="E12" s="8" t="n">
        <v>82</v>
      </c>
      <c r="F12" s="8" t="inlineStr">
        <is>
          <t>Nezničitelný</t>
        </is>
      </c>
      <c r="G12" s="8" t="n">
        <v>20</v>
      </c>
      <c r="H12" s="8" t="inlineStr">
        <is>
          <t>CP</t>
        </is>
      </c>
      <c r="I12" s="9" t="inlineStr">
        <is>
          <t>Tuhý kořínek / Odolnost 6</t>
        </is>
      </c>
    </row>
    <row r="13">
      <c r="A13" s="8" t="inlineStr">
        <is>
          <t>Iron Muscles</t>
        </is>
      </c>
      <c r="B13" s="8" t="inlineStr">
        <is>
          <t>Železné svaly</t>
        </is>
      </c>
      <c r="C13" s="8" t="inlineStr">
        <is>
          <t>Features / Combat features</t>
        </is>
      </c>
      <c r="D13" s="8" t="inlineStr">
        <is>
          <t>Exact Czech name</t>
        </is>
      </c>
      <c r="E13" s="8" t="n">
        <v>178</v>
      </c>
      <c r="F13" s="8" t="inlineStr">
        <is>
          <t>Železné svaly</t>
        </is>
      </c>
      <c r="G13" s="8" t="n">
        <v>5</v>
      </c>
      <c r="H13" s="8" t="inlineStr">
        <is>
          <t>CP</t>
        </is>
      </c>
      <c r="I13" s="9" t="inlineStr">
        <is>
          <t>Síla &gt; Odolnost</t>
        </is>
      </c>
    </row>
    <row r="14">
      <c r="A14" s="8" t="inlineStr">
        <is>
          <t>Lightning reflexes</t>
        </is>
      </c>
      <c r="B14" s="8" t="inlineStr">
        <is>
          <t>Bleskové reflexy</t>
        </is>
      </c>
      <c r="C14" s="8" t="inlineStr">
        <is>
          <t>Features / Combat features</t>
        </is>
      </c>
      <c r="D14" s="8" t="inlineStr">
        <is>
          <t>Exact Czech name</t>
        </is>
      </c>
      <c r="E14" s="8" t="n">
        <v>36</v>
      </c>
      <c r="F14" s="8" t="inlineStr">
        <is>
          <t>Bleskové reflexy</t>
        </is>
      </c>
      <c r="G14" s="8" t="n">
        <v>15</v>
      </c>
      <c r="H14" s="8" t="inlineStr">
        <is>
          <t>CP</t>
        </is>
      </c>
      <c r="I14" s="9" t="inlineStr">
        <is>
          <t>Vnímání 4; Doktrína V</t>
        </is>
      </c>
    </row>
    <row r="15">
      <c r="A15" s="8" t="inlineStr">
        <is>
          <t>Master of knives</t>
        </is>
      </c>
      <c r="B15" s="8" t="inlineStr">
        <is>
          <t>Mistr nožů</t>
        </is>
      </c>
      <c r="C15" s="8" t="inlineStr">
        <is>
          <t>Features / Combat features</t>
        </is>
      </c>
      <c r="D15" s="8" t="inlineStr">
        <is>
          <t>Exact Czech name</t>
        </is>
      </c>
      <c r="E15" s="8" t="n">
        <v>74</v>
      </c>
      <c r="F15" s="8" t="inlineStr">
        <is>
          <t>Mistr nožů</t>
        </is>
      </c>
      <c r="G15" s="8" t="n">
        <v>10</v>
      </c>
      <c r="H15" s="8" t="inlineStr">
        <is>
          <t>CP</t>
        </is>
      </c>
      <c r="I15" s="9" t="inlineStr">
        <is>
          <t>Kejklíř V</t>
        </is>
      </c>
    </row>
    <row r="16">
      <c r="A16" s="8" t="inlineStr">
        <is>
          <t>Quick Hands</t>
        </is>
      </c>
      <c r="B16" s="8" t="inlineStr">
        <is>
          <t>Rychlé ruce</t>
        </is>
      </c>
      <c r="C16" s="8" t="inlineStr">
        <is>
          <t>Features / Combat features</t>
        </is>
      </c>
      <c r="D16" s="8" t="inlineStr">
        <is>
          <t>Exact Czech name</t>
        </is>
      </c>
      <c r="E16" s="8" t="n">
        <v>126</v>
      </c>
      <c r="F16" s="8" t="inlineStr">
        <is>
          <t>Rychlé ruce</t>
        </is>
      </c>
      <c r="G16" s="8" t="n">
        <v>15</v>
      </c>
      <c r="H16" s="8" t="inlineStr">
        <is>
          <t>CP</t>
        </is>
      </c>
      <c r="I16" s="9" t="inlineStr">
        <is>
          <t>Doktrína IV; Kapsářství V</t>
        </is>
      </c>
    </row>
    <row r="17">
      <c r="A17" s="8" t="inlineStr">
        <is>
          <t>Rapid adaptation I</t>
        </is>
      </c>
      <c r="B17" s="8" t="inlineStr">
        <is>
          <t>Rychlá adaptace I</t>
        </is>
      </c>
      <c r="C17" s="8" t="inlineStr">
        <is>
          <t>Features / Combat features</t>
        </is>
      </c>
      <c r="D17" s="8" t="inlineStr">
        <is>
          <t>Exact Czech name</t>
        </is>
      </c>
      <c r="E17" s="8" t="n">
        <v>118</v>
      </c>
      <c r="F17" s="8" t="inlineStr">
        <is>
          <t>Rychlá adaptace I</t>
        </is>
      </c>
      <c r="G17" s="8" t="n">
        <v>5</v>
      </c>
      <c r="H17" s="8" t="inlineStr">
        <is>
          <t>CP</t>
        </is>
      </c>
      <c r="I17" s="9" t="inlineStr">
        <is>
          <t>Obratnost 4; Doktrína V</t>
        </is>
      </c>
    </row>
    <row r="18">
      <c r="A18" s="8" t="inlineStr">
        <is>
          <t>Swift Retaliation</t>
        </is>
      </c>
      <c r="B18" s="8" t="inlineStr">
        <is>
          <t>Rychlá odveta</t>
        </is>
      </c>
      <c r="C18" s="8" t="inlineStr">
        <is>
          <t>Features / Combat features</t>
        </is>
      </c>
      <c r="D18" s="8" t="inlineStr">
        <is>
          <t>Exact Czech name</t>
        </is>
      </c>
      <c r="E18" s="8" t="n">
        <v>122</v>
      </c>
      <c r="F18" s="8" t="inlineStr">
        <is>
          <t>Rychlá odveta</t>
        </is>
      </c>
      <c r="G18" s="8" t="n">
        <v>10</v>
      </c>
      <c r="H18" s="8" t="inlineStr">
        <is>
          <t>CP</t>
        </is>
      </c>
      <c r="I18" s="9" t="inlineStr">
        <is>
          <t>Doktrína V</t>
        </is>
      </c>
    </row>
    <row r="19">
      <c r="A19" s="8" t="inlineStr">
        <is>
          <t>Weapon Specialization I</t>
        </is>
      </c>
      <c r="B19" s="8" t="inlineStr">
        <is>
          <t>Specializace na zbraň I</t>
        </is>
      </c>
      <c r="C19" s="8" t="inlineStr">
        <is>
          <t>Features / Combat features</t>
        </is>
      </c>
      <c r="D19" s="8" t="inlineStr">
        <is>
          <t>Exact Czech name</t>
        </is>
      </c>
      <c r="E19" s="8" t="n">
        <v>146</v>
      </c>
      <c r="F19" s="8" t="inlineStr">
        <is>
          <t>Specializace na zbraň I</t>
        </is>
      </c>
      <c r="G19" s="8" t="n">
        <v>20</v>
      </c>
      <c r="H19" s="8" t="inlineStr">
        <is>
          <t>CP</t>
        </is>
      </c>
      <c r="I19" s="9" t="inlineStr">
        <is>
          <t>Doktrína IV; Zvláštní příležitost</t>
        </is>
      </c>
    </row>
    <row r="20">
      <c r="A20" s="8" t="inlineStr">
        <is>
          <t>Weapon Specialization II</t>
        </is>
      </c>
      <c r="B20" s="8" t="inlineStr">
        <is>
          <t>Specializace na zbraň II</t>
        </is>
      </c>
      <c r="C20" s="8" t="inlineStr">
        <is>
          <t>Features / Combat features</t>
        </is>
      </c>
      <c r="D20" s="8" t="inlineStr">
        <is>
          <t>Exact Czech name</t>
        </is>
      </c>
      <c r="E20" s="8" t="n">
        <v>148</v>
      </c>
      <c r="F20" s="8" t="inlineStr">
        <is>
          <t>Specializace na zbraň II</t>
        </is>
      </c>
      <c r="G20" s="8" t="n">
        <v>25</v>
      </c>
      <c r="H20" s="8" t="inlineStr">
        <is>
          <t>CP</t>
        </is>
      </c>
      <c r="I20" s="9" t="inlineStr">
        <is>
          <t>Specializace na zbraň I; Doktrína/Zbraň VII</t>
        </is>
      </c>
    </row>
    <row r="21">
      <c r="A21" s="8" t="inlineStr">
        <is>
          <t>Wounding Impale</t>
        </is>
      </c>
      <c r="B21" s="8" t="inlineStr">
        <is>
          <t>Krvavé nabodnutí</t>
        </is>
      </c>
      <c r="C21" s="8" t="inlineStr">
        <is>
          <t>Features / Combat features</t>
        </is>
      </c>
      <c r="D21" s="8" t="inlineStr">
        <is>
          <t>Exact Czech name</t>
        </is>
      </c>
      <c r="E21" s="8" t="n">
        <v>70</v>
      </c>
      <c r="F21" s="8" t="inlineStr">
        <is>
          <t>Krvavé nabodnutí</t>
        </is>
      </c>
      <c r="G21" s="8" t="n">
        <v>5</v>
      </c>
      <c r="H21" s="8" t="inlineStr">
        <is>
          <t>CP</t>
        </is>
      </c>
      <c r="I21" s="9" t="inlineStr">
        <is>
          <t>Pikenýr III / Hoplita</t>
        </is>
      </c>
    </row>
    <row r="22">
      <c r="A22" s="8" t="inlineStr">
        <is>
          <t>Dwarven immunity I</t>
        </is>
      </c>
      <c r="B22" s="8" t="inlineStr">
        <is>
          <t>Trpasličí imunita I</t>
        </is>
      </c>
      <c r="C22" s="8" t="inlineStr">
        <is>
          <t>Features / Dwarven features</t>
        </is>
      </c>
      <c r="D22" s="8" t="inlineStr">
        <is>
          <t>Exact Czech name</t>
        </is>
      </c>
      <c r="E22" s="8" t="n">
        <v>502</v>
      </c>
      <c r="F22" s="8" t="inlineStr">
        <is>
          <t>Trpasličí imunita I</t>
        </is>
      </c>
      <c r="G22" s="8" t="n">
        <v>10</v>
      </c>
      <c r="H22" s="8" t="inlineStr">
        <is>
          <t>CP</t>
        </is>
      </c>
      <c r="I22" s="9" t="inlineStr">
        <is>
          <t>Vardur; Odolnost 4</t>
        </is>
      </c>
    </row>
    <row r="23">
      <c r="A23" s="8" t="inlineStr">
        <is>
          <t>Dwarven immunity II</t>
        </is>
      </c>
      <c r="B23" s="8" t="inlineStr">
        <is>
          <t>Trpasličí imunita II</t>
        </is>
      </c>
      <c r="C23" s="8" t="inlineStr">
        <is>
          <t>Features / Dwarven features</t>
        </is>
      </c>
      <c r="D23" s="8" t="inlineStr">
        <is>
          <t>Exact Czech name</t>
        </is>
      </c>
      <c r="E23" s="8" t="n">
        <v>504</v>
      </c>
      <c r="F23" s="8" t="inlineStr">
        <is>
          <t>Trpasličí imunita II</t>
        </is>
      </c>
      <c r="G23" s="8" t="n">
        <v>10</v>
      </c>
      <c r="H23" s="8" t="inlineStr">
        <is>
          <t>CP</t>
        </is>
      </c>
      <c r="I23" s="9" t="inlineStr">
        <is>
          <t>Vardur; Odolnost 5; Trpasličí imunita I</t>
        </is>
      </c>
    </row>
    <row r="24">
      <c r="A24" s="8" t="inlineStr">
        <is>
          <t>Dwarven liver</t>
        </is>
      </c>
      <c r="B24" s="8" t="inlineStr">
        <is>
          <t>Trpasličí játra</t>
        </is>
      </c>
      <c r="C24" s="8" t="inlineStr">
        <is>
          <t>Features / Dwarven features</t>
        </is>
      </c>
      <c r="D24" s="8" t="inlineStr">
        <is>
          <t>Exact Czech name</t>
        </is>
      </c>
      <c r="E24" s="8" t="n">
        <v>494</v>
      </c>
      <c r="F24" s="8" t="inlineStr">
        <is>
          <t>Trpasličí játra</t>
        </is>
      </c>
      <c r="G24" s="8" t="n">
        <v>20</v>
      </c>
      <c r="H24" s="8" t="inlineStr">
        <is>
          <t>SP</t>
        </is>
      </c>
      <c r="I24" s="9" t="inlineStr">
        <is>
          <t>Trpaslík; Pijáctví I</t>
        </is>
      </c>
    </row>
    <row r="25">
      <c r="A25" s="8" t="inlineStr">
        <is>
          <t>Dwarven perseverance</t>
        </is>
      </c>
      <c r="B25" s="8" t="inlineStr">
        <is>
          <t>Trpasličí vytrvalost</t>
        </is>
      </c>
      <c r="C25" s="8" t="inlineStr">
        <is>
          <t>Features / Dwarven features</t>
        </is>
      </c>
      <c r="D25" s="8" t="inlineStr">
        <is>
          <t>Exact Czech name</t>
        </is>
      </c>
      <c r="E25" s="8" t="n">
        <v>496</v>
      </c>
      <c r="F25" s="8" t="inlineStr">
        <is>
          <t>Trpasličí vytrvalost</t>
        </is>
      </c>
      <c r="G25" s="8" t="n">
        <v>20</v>
      </c>
      <c r="H25" s="8" t="inlineStr">
        <is>
          <t>SP</t>
        </is>
      </c>
      <c r="I25" s="9" t="inlineStr">
        <is>
          <t>Trpaslík; Svaly I</t>
        </is>
      </c>
    </row>
    <row r="26">
      <c r="A26" s="8" t="inlineStr">
        <is>
          <t>Dwarven resillience</t>
        </is>
      </c>
      <c r="B26" s="8" t="inlineStr">
        <is>
          <t>Trpasličí odolnost</t>
        </is>
      </c>
      <c r="C26" s="8" t="inlineStr">
        <is>
          <t>Features / Dwarven features</t>
        </is>
      </c>
      <c r="D26" s="8" t="inlineStr">
        <is>
          <t>Exact Czech name</t>
        </is>
      </c>
      <c r="E26" s="8" t="n">
        <v>500</v>
      </c>
      <c r="F26" s="8" t="inlineStr">
        <is>
          <t>Trpasličí odolnost</t>
        </is>
      </c>
      <c r="G26" s="8" t="n">
        <v>20</v>
      </c>
      <c r="H26" s="8" t="inlineStr">
        <is>
          <t>CP</t>
        </is>
      </c>
      <c r="I26" s="9" t="inlineStr">
        <is>
          <t>Trpaslík; Odolnost 4</t>
        </is>
      </c>
    </row>
    <row r="27">
      <c r="A27" s="8" t="inlineStr">
        <is>
          <t>Dwarven talent</t>
        </is>
      </c>
      <c r="B27" s="8" t="inlineStr">
        <is>
          <t>Trpasličí talent</t>
        </is>
      </c>
      <c r="C27" s="8" t="inlineStr">
        <is>
          <t>Features / Dwarven features</t>
        </is>
      </c>
      <c r="D27" s="8" t="inlineStr">
        <is>
          <t>Exact Czech name</t>
        </is>
      </c>
      <c r="E27" s="8" t="n">
        <v>506</v>
      </c>
      <c r="F27" s="8" t="inlineStr">
        <is>
          <t>Trpasličí talent</t>
        </is>
      </c>
      <c r="G27" s="8" t="n">
        <v>15</v>
      </c>
      <c r="H27" s="8" t="inlineStr">
        <is>
          <t>SP</t>
        </is>
      </c>
      <c r="I27" s="9" t="inlineStr">
        <is>
          <t>Vardur; Kovářství I</t>
        </is>
      </c>
    </row>
    <row r="28">
      <c r="A28" s="8" t="inlineStr">
        <is>
          <t>Iron skin</t>
        </is>
      </c>
      <c r="B28" s="8" t="inlineStr">
        <is>
          <t>Železná kůže</t>
        </is>
      </c>
      <c r="C28" s="8" t="inlineStr">
        <is>
          <t>Features / Dwarven features</t>
        </is>
      </c>
      <c r="D28" s="8" t="inlineStr">
        <is>
          <t>Exact Czech name</t>
        </is>
      </c>
      <c r="E28" s="8" t="n">
        <v>508</v>
      </c>
      <c r="F28" s="8" t="inlineStr">
        <is>
          <t>Železná kůže</t>
        </is>
      </c>
      <c r="G28" s="8" t="n">
        <v>15</v>
      </c>
      <c r="H28" s="8" t="inlineStr">
        <is>
          <t>CP</t>
        </is>
      </c>
      <c r="I28" s="9" t="inlineStr">
        <is>
          <t>Vardur; Zbraň VII</t>
        </is>
      </c>
    </row>
    <row r="29">
      <c r="A29" s="8" t="inlineStr">
        <is>
          <t>Graceful step</t>
        </is>
      </c>
      <c r="B29" s="8" t="inlineStr">
        <is>
          <t>Ladný krok</t>
        </is>
      </c>
      <c r="C29" s="8" t="inlineStr">
        <is>
          <t>Features / Halfling features</t>
        </is>
      </c>
      <c r="D29" s="8" t="inlineStr">
        <is>
          <t>Exact Czech name</t>
        </is>
      </c>
      <c r="E29" s="8" t="n">
        <v>610</v>
      </c>
      <c r="F29" s="8" t="inlineStr">
        <is>
          <t>Ladný krok</t>
        </is>
      </c>
      <c r="G29" s="8" t="n">
        <v>5</v>
      </c>
      <c r="H29" s="8" t="inlineStr">
        <is>
          <t>CP</t>
        </is>
      </c>
      <c r="I29" s="9" t="inlineStr">
        <is>
          <t>Půlčík; Obratnost 4</t>
        </is>
      </c>
    </row>
    <row r="30">
      <c r="A30" s="8" t="inlineStr">
        <is>
          <t>Handy fingers</t>
        </is>
      </c>
      <c r="B30" s="8" t="inlineStr">
        <is>
          <t>Šikovné prsty</t>
        </is>
      </c>
      <c r="C30" s="8" t="inlineStr">
        <is>
          <t>Features / Halfling features</t>
        </is>
      </c>
      <c r="D30" s="8" t="inlineStr">
        <is>
          <t>Exact Czech name</t>
        </is>
      </c>
      <c r="E30" s="8" t="n">
        <v>618</v>
      </c>
      <c r="F30" s="8" t="inlineStr">
        <is>
          <t>Šikovné prsty</t>
        </is>
      </c>
      <c r="G30" s="8" t="n">
        <v>15</v>
      </c>
      <c r="H30" s="8" t="inlineStr">
        <is>
          <t>SP</t>
        </is>
      </c>
      <c r="I30" s="9" t="inlineStr">
        <is>
          <t>Půlčík; Odemykání zámků I</t>
        </is>
      </c>
    </row>
    <row r="31">
      <c r="A31" s="8" t="inlineStr">
        <is>
          <t>Adept of Magic</t>
        </is>
      </c>
      <c r="B31" s="8" t="inlineStr">
        <is>
          <t>Adept magie</t>
        </is>
      </c>
      <c r="C31" s="8" t="inlineStr">
        <is>
          <t>Features / Mage features</t>
        </is>
      </c>
      <c r="D31" s="8" t="inlineStr">
        <is>
          <t>Exact Czech name</t>
        </is>
      </c>
      <c r="E31" s="8" t="n">
        <v>314</v>
      </c>
      <c r="F31" s="8" t="inlineStr">
        <is>
          <t>Adept Magie</t>
        </is>
      </c>
      <c r="G31" s="8" t="n">
        <v>10</v>
      </c>
      <c r="H31" s="8" t="inlineStr">
        <is>
          <t>CP</t>
        </is>
      </c>
      <c r="I31" s="9" t="inlineStr">
        <is>
          <t>Dvě expertní Školy*</t>
        </is>
      </c>
    </row>
    <row r="32">
      <c r="A32" s="8" t="inlineStr">
        <is>
          <t>Area defense</t>
        </is>
      </c>
      <c r="B32" s="8" t="inlineStr">
        <is>
          <t>Plošná obrana</t>
        </is>
      </c>
      <c r="C32" s="8" t="inlineStr">
        <is>
          <t>Features / Mage features</t>
        </is>
      </c>
      <c r="D32" s="8" t="inlineStr">
        <is>
          <t>Exact Czech name</t>
        </is>
      </c>
      <c r="E32" s="8" t="n">
        <v>338</v>
      </c>
      <c r="F32" s="8" t="inlineStr">
        <is>
          <t>Plošná obrana</t>
        </is>
      </c>
      <c r="G32" s="8" t="n">
        <v>10</v>
      </c>
      <c r="H32" s="8" t="inlineStr">
        <is>
          <t>CP</t>
        </is>
      </c>
      <c r="I32" s="9" t="inlineStr">
        <is>
          <t>Škola VI</t>
        </is>
      </c>
    </row>
    <row r="33">
      <c r="A33" s="8" t="inlineStr">
        <is>
          <t>Hastened cast</t>
        </is>
      </c>
      <c r="B33" s="8" t="inlineStr">
        <is>
          <t>Zrychlené čarování</t>
        </is>
      </c>
      <c r="C33" s="8" t="inlineStr">
        <is>
          <t>Features / Mage features</t>
        </is>
      </c>
      <c r="D33" s="8" t="inlineStr">
        <is>
          <t>Exact Czech name</t>
        </is>
      </c>
      <c r="E33" s="8" t="n">
        <v>350</v>
      </c>
      <c r="F33" s="8" t="inlineStr">
        <is>
          <t>Zrychlené čarování</t>
        </is>
      </c>
      <c r="G33" s="8" t="n">
        <v>5</v>
      </c>
      <c r="H33" s="8" t="inlineStr">
        <is>
          <t>CP</t>
        </is>
      </c>
      <c r="I33" s="9" t="inlineStr">
        <is>
          <t>Doktrína III</t>
        </is>
      </c>
    </row>
    <row r="34">
      <c r="A34" s="8" t="inlineStr">
        <is>
          <t>Magical reserve</t>
        </is>
      </c>
      <c r="B34" s="8" t="inlineStr">
        <is>
          <t>Magická rezerva</t>
        </is>
      </c>
      <c r="C34" s="8" t="inlineStr">
        <is>
          <t>Features / Mage features</t>
        </is>
      </c>
      <c r="D34" s="8" t="inlineStr">
        <is>
          <t>Exact Czech name</t>
        </is>
      </c>
      <c r="E34" s="8" t="n">
        <v>328</v>
      </c>
      <c r="F34" s="8" t="inlineStr">
        <is>
          <t>Magická rezerva</t>
        </is>
      </c>
      <c r="G34" s="8" t="n">
        <v>5</v>
      </c>
      <c r="H34" s="8" t="inlineStr">
        <is>
          <t>CP</t>
        </is>
      </c>
      <c r="I34" s="9" t="inlineStr">
        <is>
          <t>Doktrína I</t>
        </is>
      </c>
    </row>
    <row r="35">
      <c r="A35" s="8" t="inlineStr">
        <is>
          <t>Staggering lightnings</t>
        </is>
      </c>
      <c r="B35" s="8" t="inlineStr">
        <is>
          <t>Omračující blesky</t>
        </is>
      </c>
      <c r="C35" s="8" t="inlineStr">
        <is>
          <t>Features / Mage features</t>
        </is>
      </c>
      <c r="D35" s="8" t="inlineStr">
        <is>
          <t>Exact Czech name</t>
        </is>
      </c>
      <c r="E35" s="8" t="n">
        <v>378</v>
      </c>
      <c r="F35" s="8" t="inlineStr">
        <is>
          <t>Omračující blesky</t>
        </is>
      </c>
      <c r="G35" s="8" t="n">
        <v>15</v>
      </c>
      <c r="H35" s="8" t="inlineStr">
        <is>
          <t>CP</t>
        </is>
      </c>
      <c r="I35" s="9" t="inlineStr">
        <is>
          <t>Škola Vzduchu IV; Učitel I</t>
        </is>
      </c>
    </row>
    <row r="36">
      <c r="A36" s="8" t="inlineStr">
        <is>
          <t>Ace up one’s sleeve</t>
        </is>
      </c>
      <c r="B36" s="8" t="inlineStr">
        <is>
          <t>Eso v rukávu</t>
        </is>
      </c>
      <c r="C36" s="8" t="inlineStr">
        <is>
          <t>Features / Noncombat features</t>
        </is>
      </c>
      <c r="D36" s="8" t="inlineStr">
        <is>
          <t>Exact Czech name</t>
        </is>
      </c>
      <c r="E36" s="8" t="n">
        <v>211</v>
      </c>
      <c r="F36" s="8" t="inlineStr">
        <is>
          <t>Eso v rukávu</t>
        </is>
      </c>
      <c r="G36" s="8" t="n">
        <v>20</v>
      </c>
      <c r="H36" s="8" t="inlineStr">
        <is>
          <t>SP</t>
        </is>
      </c>
      <c r="I36" s="9" t="inlineStr">
        <is>
          <t>Kapsářství IV</t>
        </is>
      </c>
    </row>
    <row r="37">
      <c r="A37" s="8" t="inlineStr">
        <is>
          <t>Agile I</t>
        </is>
      </c>
      <c r="B37" s="8" t="inlineStr">
        <is>
          <t>Hbitý I</t>
        </is>
      </c>
      <c r="C37" s="8" t="inlineStr">
        <is>
          <t>Features / Noncombat features</t>
        </is>
      </c>
      <c r="D37" s="8" t="inlineStr">
        <is>
          <t>Exact Czech name</t>
        </is>
      </c>
      <c r="E37" s="8" t="n">
        <v>221</v>
      </c>
      <c r="F37" s="8" t="inlineStr">
        <is>
          <t>Hbitý I</t>
        </is>
      </c>
      <c r="G37" s="8" t="n">
        <v>10</v>
      </c>
      <c r="H37" s="8" t="inlineStr">
        <is>
          <t>SP</t>
        </is>
      </c>
      <c r="I37" s="9" t="inlineStr">
        <is>
          <t>Hbitost I</t>
        </is>
      </c>
    </row>
    <row r="38">
      <c r="A38" s="8" t="inlineStr">
        <is>
          <t>Agile II</t>
        </is>
      </c>
      <c r="B38" s="8" t="inlineStr">
        <is>
          <t>Hbitý II</t>
        </is>
      </c>
      <c r="C38" s="8" t="inlineStr">
        <is>
          <t>Features / Noncombat features</t>
        </is>
      </c>
      <c r="D38" s="8" t="inlineStr">
        <is>
          <t>Exact Czech name</t>
        </is>
      </c>
      <c r="E38" s="8" t="n">
        <v>223</v>
      </c>
      <c r="F38" s="8" t="inlineStr">
        <is>
          <t>Hbitý II</t>
        </is>
      </c>
      <c r="G38" s="8" t="n">
        <v>20</v>
      </c>
      <c r="H38" s="8" t="inlineStr">
        <is>
          <t>SP</t>
        </is>
      </c>
      <c r="I38" s="9" t="inlineStr">
        <is>
          <t>Hbitý I, Hbitost III</t>
        </is>
      </c>
    </row>
    <row r="39">
      <c r="A39" s="8" t="inlineStr">
        <is>
          <t>Feldsher I</t>
        </is>
      </c>
      <c r="B39" s="8" t="inlineStr">
        <is>
          <t>Felčar I</t>
        </is>
      </c>
      <c r="C39" s="8" t="inlineStr">
        <is>
          <t>Features / Noncombat features</t>
        </is>
      </c>
      <c r="D39" s="8" t="inlineStr">
        <is>
          <t>Exact Czech name</t>
        </is>
      </c>
      <c r="E39" s="8" t="n">
        <v>215</v>
      </c>
      <c r="F39" s="8" t="inlineStr">
        <is>
          <t>Felčar I</t>
        </is>
      </c>
      <c r="G39" s="8" t="n">
        <v>20</v>
      </c>
      <c r="H39" s="8" t="inlineStr">
        <is>
          <t>SP</t>
        </is>
      </c>
      <c r="I39" s="9" t="inlineStr">
        <is>
          <t>Ranhojičství: Adept</t>
        </is>
      </c>
    </row>
    <row r="40">
      <c r="A40" s="8" t="inlineStr">
        <is>
          <t>Feldsher II</t>
        </is>
      </c>
      <c r="B40" s="8" t="inlineStr">
        <is>
          <t>Felčar II</t>
        </is>
      </c>
      <c r="C40" s="8" t="inlineStr">
        <is>
          <t>Features / Noncombat features</t>
        </is>
      </c>
      <c r="D40" s="8" t="inlineStr">
        <is>
          <t>Exact Czech name</t>
        </is>
      </c>
      <c r="E40" s="8" t="n">
        <v>217</v>
      </c>
      <c r="F40" s="8" t="inlineStr">
        <is>
          <t>Felčar II</t>
        </is>
      </c>
      <c r="G40" s="8" t="n">
        <v>20</v>
      </c>
      <c r="H40" s="8" t="inlineStr">
        <is>
          <t>SP</t>
        </is>
      </c>
      <c r="I40" s="9" t="inlineStr">
        <is>
          <t>Felčar I; Ranhojičství: Expert</t>
        </is>
      </c>
    </row>
    <row r="41">
      <c r="A41" s="8" t="inlineStr">
        <is>
          <t>Magic Commander</t>
        </is>
      </c>
      <c r="B41" s="8" t="inlineStr">
        <is>
          <t>Magický velitel</t>
        </is>
      </c>
      <c r="C41" s="8" t="inlineStr">
        <is>
          <t>Features / Noncombat features</t>
        </is>
      </c>
      <c r="D41" s="8" t="inlineStr">
        <is>
          <t>Exact Czech name</t>
        </is>
      </c>
      <c r="E41" s="8" t="n">
        <v>265</v>
      </c>
      <c r="F41" s="8" t="inlineStr">
        <is>
          <t>Magický velitel</t>
        </is>
      </c>
      <c r="G41" s="8" t="n">
        <v>15</v>
      </c>
      <c r="H41" s="8" t="inlineStr">
        <is>
          <t>SP</t>
        </is>
      </c>
      <c r="I41" s="9" t="inlineStr">
        <is>
          <t>Velení V; Magický potenciál</t>
        </is>
      </c>
    </row>
    <row r="42">
      <c r="A42" s="8" t="inlineStr">
        <is>
          <t>Master thief</t>
        </is>
      </c>
      <c r="B42" s="8" t="inlineStr">
        <is>
          <t>Mistr zloděj</t>
        </is>
      </c>
      <c r="C42" s="8" t="inlineStr">
        <is>
          <t>Features / Noncombat features</t>
        </is>
      </c>
      <c r="D42" s="8" t="inlineStr">
        <is>
          <t>Exact Czech name</t>
        </is>
      </c>
      <c r="E42" s="8" t="n">
        <v>245</v>
      </c>
      <c r="F42" s="8" t="inlineStr">
        <is>
          <t>Mistr zloděj</t>
        </is>
      </c>
      <c r="G42" s="8" t="n">
        <v>10</v>
      </c>
      <c r="H42" s="8" t="inlineStr">
        <is>
          <t>SP</t>
        </is>
      </c>
      <c r="I42" s="9" t="inlineStr">
        <is>
          <t>Kapsářství VI; Odemykání zámků VI</t>
        </is>
      </c>
    </row>
    <row r="43">
      <c r="A43" s="8" t="inlineStr">
        <is>
          <t>Scholar I</t>
        </is>
      </c>
      <c r="B43" s="8" t="inlineStr">
        <is>
          <t>Učenec I</t>
        </is>
      </c>
      <c r="C43" s="8" t="inlineStr">
        <is>
          <t>Features / Noncombat features</t>
        </is>
      </c>
      <c r="D43" s="8" t="inlineStr">
        <is>
          <t>Exact Czech name</t>
        </is>
      </c>
      <c r="E43" s="8" t="n">
        <v>289</v>
      </c>
      <c r="F43" s="8" t="inlineStr">
        <is>
          <t>Učenec I</t>
        </is>
      </c>
      <c r="G43" s="8" t="n">
        <v>0</v>
      </c>
      <c r="H43" s="8" t="inlineStr">
        <is>
          <t>SP</t>
        </is>
      </c>
      <c r="I43" s="9" t="inlineStr">
        <is>
          <t>Inteligence 4</t>
        </is>
      </c>
    </row>
    <row r="44">
      <c r="A44" s="8" t="inlineStr">
        <is>
          <t>Scholar II</t>
        </is>
      </c>
      <c r="B44" s="8" t="inlineStr">
        <is>
          <t>Učenec II</t>
        </is>
      </c>
      <c r="C44" s="8" t="inlineStr">
        <is>
          <t>Features / Noncombat features</t>
        </is>
      </c>
      <c r="D44" s="8" t="inlineStr">
        <is>
          <t>Exact Czech name</t>
        </is>
      </c>
      <c r="E44" s="8" t="n">
        <v>291</v>
      </c>
      <c r="F44" s="8" t="inlineStr">
        <is>
          <t>Učenec II</t>
        </is>
      </c>
      <c r="G44" s="8" t="n">
        <v>0</v>
      </c>
      <c r="H44" s="8" t="inlineStr">
        <is>
          <t>SP</t>
        </is>
      </c>
      <c r="I44" s="9" t="inlineStr">
        <is>
          <t>Učenec I; Inteligence 5 / Génius</t>
        </is>
      </c>
    </row>
    <row r="45">
      <c r="A45" s="8" t="inlineStr">
        <is>
          <t>Sixth sense</t>
        </is>
      </c>
      <c r="B45" s="8" t="inlineStr">
        <is>
          <t>Šestý smysl</t>
        </is>
      </c>
      <c r="C45" s="8" t="inlineStr">
        <is>
          <t>Features / Noncombat features</t>
        </is>
      </c>
      <c r="D45" s="8" t="inlineStr">
        <is>
          <t>Exact Czech name</t>
        </is>
      </c>
      <c r="E45" s="8" t="n">
        <v>279</v>
      </c>
      <c r="F45" s="8" t="inlineStr">
        <is>
          <t>Šestý smysl</t>
        </is>
      </c>
      <c r="G45" s="8" t="n">
        <v>10</v>
      </c>
      <c r="H45" s="8" t="inlineStr">
        <is>
          <t>SP</t>
        </is>
      </c>
      <c r="I45" s="9" t="inlineStr">
        <is>
          <t>Vhled V</t>
        </is>
      </c>
    </row>
    <row r="46">
      <c r="A46" s="8" t="inlineStr">
        <is>
          <t>Woodsman</t>
        </is>
      </c>
      <c r="B46" s="8" t="inlineStr">
        <is>
          <t>Zálesák</t>
        </is>
      </c>
      <c r="C46" s="8" t="inlineStr">
        <is>
          <t>Features / Noncombat features</t>
        </is>
      </c>
      <c r="D46" s="8" t="inlineStr">
        <is>
          <t>Exact Czech name</t>
        </is>
      </c>
      <c r="E46" s="8" t="n">
        <v>297</v>
      </c>
      <c r="F46" s="8" t="inlineStr">
        <is>
          <t>Zálesák</t>
        </is>
      </c>
      <c r="G46" s="8" t="n">
        <v>15</v>
      </c>
      <c r="H46" s="8" t="inlineStr">
        <is>
          <t>SP</t>
        </is>
      </c>
      <c r="I46" s="9" t="inlineStr">
        <is>
          <t>Přežití V</t>
        </is>
      </c>
    </row>
    <row r="47">
      <c r="A47" s="8" t="inlineStr">
        <is>
          <t>Nimble feet</t>
        </is>
      </c>
      <c r="B47" s="8" t="inlineStr">
        <is>
          <t>Hbité nohy</t>
        </is>
      </c>
      <c r="C47" s="8" t="inlineStr">
        <is>
          <t>Features / Trait Features</t>
        </is>
      </c>
      <c r="D47" s="8" t="inlineStr">
        <is>
          <t>Exact Czech name</t>
        </is>
      </c>
      <c r="E47" s="8" t="n">
        <v>406</v>
      </c>
      <c r="F47" s="8" t="inlineStr">
        <is>
          <t>Hbité nohy</t>
        </is>
      </c>
      <c r="G47" s="8" t="n">
        <v>15</v>
      </c>
      <c r="H47" s="8" t="inlineStr">
        <is>
          <t>CP</t>
        </is>
      </c>
      <c r="I47" s="9" t="inlineStr">
        <is>
          <t>Mrštný</t>
        </is>
      </c>
    </row>
    <row r="48">
      <c r="A48" s="8" t="inlineStr">
        <is>
          <t>Orator</t>
        </is>
      </c>
      <c r="B48" s="8" t="inlineStr">
        <is>
          <t>Řečník</t>
        </is>
      </c>
      <c r="C48" s="8" t="inlineStr">
        <is>
          <t>Features / Trait Features</t>
        </is>
      </c>
      <c r="D48" s="8" t="inlineStr">
        <is>
          <t>Exact Czech name</t>
        </is>
      </c>
      <c r="E48" s="8" t="n">
        <v>416</v>
      </c>
      <c r="F48" s="8" t="inlineStr">
        <is>
          <t>Řečník</t>
        </is>
      </c>
      <c r="G48" s="8" t="n">
        <v>10</v>
      </c>
      <c r="H48" s="8" t="inlineStr">
        <is>
          <t>SP</t>
        </is>
      </c>
      <c r="I48" s="9" t="inlineStr">
        <is>
          <t>Stříbrný jazyk</t>
        </is>
      </c>
    </row>
    <row r="49">
      <c r="A49" s="8" t="inlineStr">
        <is>
          <t>Quick-witted</t>
        </is>
      </c>
      <c r="B49" s="8" t="inlineStr">
        <is>
          <t>Pohotový</t>
        </is>
      </c>
      <c r="C49" s="8" t="inlineStr">
        <is>
          <t>Features / Trait Features</t>
        </is>
      </c>
      <c r="D49" s="8" t="inlineStr">
        <is>
          <t>Exact Czech name</t>
        </is>
      </c>
      <c r="E49" s="8" t="n">
        <v>414</v>
      </c>
      <c r="F49" s="8" t="inlineStr">
        <is>
          <t>Pohotový</t>
        </is>
      </c>
      <c r="G49" s="8" t="n">
        <v>20</v>
      </c>
      <c r="H49" s="8" t="inlineStr">
        <is>
          <t>SP</t>
        </is>
      </c>
      <c r="I49" s="9" t="inlineStr">
        <is>
          <t>Orlí smysly</t>
        </is>
      </c>
    </row>
    <row r="50">
      <c r="A50" s="8" t="inlineStr">
        <is>
          <t>Untiring luck</t>
        </is>
      </c>
      <c r="B50" s="8" t="inlineStr">
        <is>
          <t>Neúnavné štěstí</t>
        </is>
      </c>
      <c r="C50" s="8" t="inlineStr">
        <is>
          <t>Features / Trait Features</t>
        </is>
      </c>
      <c r="D50" s="8" t="inlineStr">
        <is>
          <t>Exact Czech name</t>
        </is>
      </c>
      <c r="E50" s="8" t="n">
        <v>410</v>
      </c>
      <c r="F50" s="8" t="inlineStr">
        <is>
          <t>Neúnavné štěstí</t>
        </is>
      </c>
      <c r="G50" s="8" t="n">
        <v>30</v>
      </c>
      <c r="H50" s="8" t="inlineStr">
        <is>
          <t>SP</t>
        </is>
      </c>
      <c r="I50" s="9" t="inlineStr">
        <is>
          <t>Šťastlivec</t>
        </is>
      </c>
    </row>
    <row r="51">
      <c r="A51" s="8" t="inlineStr">
        <is>
          <t>Adept: Acrobacy</t>
        </is>
      </c>
      <c r="B51" s="8" t="inlineStr">
        <is>
          <t>Adept: Akrobacie</t>
        </is>
      </c>
      <c r="C51" s="8" t="inlineStr">
        <is>
          <t>Features / Adepts</t>
        </is>
      </c>
      <c r="D51" s="8" t="inlineStr">
        <is>
          <t>Skill tier: acrobacy is class A</t>
        </is>
      </c>
      <c r="E51" s="8" t="n">
        <v>193</v>
      </c>
      <c r="F51" s="8" t="inlineStr">
        <is>
          <t>*Dovednost A*: Adept</t>
        </is>
      </c>
      <c r="G51" s="8" t="n">
        <v>20</v>
      </c>
      <c r="H51" s="8" t="inlineStr">
        <is>
          <t>SP</t>
        </is>
      </c>
      <c r="I51" s="9" t="inlineStr">
        <is>
          <t>*Dovednost* IV</t>
        </is>
      </c>
    </row>
    <row r="52">
      <c r="A52" s="8" t="inlineStr">
        <is>
          <t>Adept: Acting</t>
        </is>
      </c>
      <c r="B52" s="8" t="inlineStr">
        <is>
          <t>Adept: Herectví</t>
        </is>
      </c>
      <c r="C52" s="8" t="inlineStr">
        <is>
          <t>Features / Adepts</t>
        </is>
      </c>
      <c r="D52" s="8" t="inlineStr">
        <is>
          <t>Skill tier: acting is class C</t>
        </is>
      </c>
      <c r="E52" s="8" t="n">
        <v>205</v>
      </c>
      <c r="F52" s="8" t="inlineStr">
        <is>
          <t>*Dovednost C*: Adept</t>
        </is>
      </c>
      <c r="G52" s="8" t="n">
        <v>10</v>
      </c>
      <c r="H52" s="8" t="inlineStr">
        <is>
          <t>SP</t>
        </is>
      </c>
      <c r="I52" s="9" t="inlineStr">
        <is>
          <t>*Dovednost* IV</t>
        </is>
      </c>
    </row>
    <row r="53">
      <c r="A53" s="8" t="inlineStr">
        <is>
          <t>Adept: Alchemy</t>
        </is>
      </c>
      <c r="B53" s="8" t="inlineStr">
        <is>
          <t>Adept: Alchymie</t>
        </is>
      </c>
      <c r="C53" s="8" t="inlineStr">
        <is>
          <t>Features / Adepts</t>
        </is>
      </c>
      <c r="D53" s="8" t="inlineStr">
        <is>
          <t>Skill tier: alchemy is class A</t>
        </is>
      </c>
      <c r="E53" s="8" t="n">
        <v>193</v>
      </c>
      <c r="F53" s="8" t="inlineStr">
        <is>
          <t>*Dovednost A*: Adept</t>
        </is>
      </c>
      <c r="G53" s="8" t="n">
        <v>20</v>
      </c>
      <c r="H53" s="8" t="inlineStr">
        <is>
          <t>SP</t>
        </is>
      </c>
      <c r="I53" s="9" t="inlineStr">
        <is>
          <t>*Dovednost* IV</t>
        </is>
      </c>
    </row>
    <row r="54">
      <c r="A54" s="8" t="inlineStr">
        <is>
          <t>Adept: Animal Handling</t>
        </is>
      </c>
      <c r="B54" s="8" t="inlineStr">
        <is>
          <t>Adept: Zacházení se zvířaty</t>
        </is>
      </c>
      <c r="C54" s="8" t="inlineStr">
        <is>
          <t>Features / Adepts</t>
        </is>
      </c>
      <c r="D54" s="8" t="inlineStr">
        <is>
          <t>Skill tier: animalHandling is class C</t>
        </is>
      </c>
      <c r="E54" s="8" t="n">
        <v>205</v>
      </c>
      <c r="F54" s="8" t="inlineStr">
        <is>
          <t>*Dovednost C*: Adept</t>
        </is>
      </c>
      <c r="G54" s="8" t="n">
        <v>10</v>
      </c>
      <c r="H54" s="8" t="inlineStr">
        <is>
          <t>SP</t>
        </is>
      </c>
      <c r="I54" s="9" t="inlineStr">
        <is>
          <t>*Dovednost* IV</t>
        </is>
      </c>
    </row>
    <row r="55">
      <c r="A55" s="8" t="inlineStr">
        <is>
          <t>Adept: Arcana</t>
        </is>
      </c>
      <c r="B55" s="8" t="inlineStr">
        <is>
          <t>Adept: Arcana</t>
        </is>
      </c>
      <c r="C55" s="8" t="inlineStr">
        <is>
          <t>Features / Adepts</t>
        </is>
      </c>
      <c r="D55" s="8" t="inlineStr">
        <is>
          <t>Skill tier: arcana is class B</t>
        </is>
      </c>
      <c r="E55" s="8" t="n">
        <v>199</v>
      </c>
      <c r="F55" s="8" t="inlineStr">
        <is>
          <t>*Dovednost B*: Adept</t>
        </is>
      </c>
      <c r="G55" s="8" t="n">
        <v>10</v>
      </c>
      <c r="H55" s="8" t="inlineStr">
        <is>
          <t>SP</t>
        </is>
      </c>
      <c r="I55" s="9" t="inlineStr">
        <is>
          <t>*Dovednost* IV</t>
        </is>
      </c>
    </row>
    <row r="56">
      <c r="A56" s="8" t="inlineStr">
        <is>
          <t>Adept: Art</t>
        </is>
      </c>
      <c r="B56" s="8" t="inlineStr">
        <is>
          <t>Adept: Umělecká tvorba</t>
        </is>
      </c>
      <c r="C56" s="8" t="inlineStr">
        <is>
          <t>Features / Adepts</t>
        </is>
      </c>
      <c r="D56" s="8" t="inlineStr">
        <is>
          <t>Skill tier: art is class C</t>
        </is>
      </c>
      <c r="E56" s="8" t="n">
        <v>205</v>
      </c>
      <c r="F56" s="8" t="inlineStr">
        <is>
          <t>*Dovednost C*: Adept</t>
        </is>
      </c>
      <c r="G56" s="8" t="n">
        <v>10</v>
      </c>
      <c r="H56" s="8" t="inlineStr">
        <is>
          <t>SP</t>
        </is>
      </c>
      <c r="I56" s="9" t="inlineStr">
        <is>
          <t>*Dovednost* IV</t>
        </is>
      </c>
    </row>
    <row r="57">
      <c r="A57" s="8" t="inlineStr">
        <is>
          <t>Adept: Athletics</t>
        </is>
      </c>
      <c r="B57" s="8" t="inlineStr">
        <is>
          <t>Adept: Atletika</t>
        </is>
      </c>
      <c r="C57" s="8" t="inlineStr">
        <is>
          <t>Features / Adepts</t>
        </is>
      </c>
      <c r="D57" s="8" t="inlineStr">
        <is>
          <t>Skill tier: athletics is class B</t>
        </is>
      </c>
      <c r="E57" s="8" t="n">
        <v>199</v>
      </c>
      <c r="F57" s="8" t="inlineStr">
        <is>
          <t>*Dovednost B*: Adept</t>
        </is>
      </c>
      <c r="G57" s="8" t="n">
        <v>10</v>
      </c>
      <c r="H57" s="8" t="inlineStr">
        <is>
          <t>SP</t>
        </is>
      </c>
      <c r="I57" s="9" t="inlineStr">
        <is>
          <t>*Dovednost* IV</t>
        </is>
      </c>
    </row>
    <row r="58">
      <c r="A58" s="8" t="inlineStr">
        <is>
          <t>Adept: Augury</t>
        </is>
      </c>
      <c r="B58" s="8" t="inlineStr">
        <is>
          <t>Adept: Věštění</t>
        </is>
      </c>
      <c r="C58" s="8" t="inlineStr">
        <is>
          <t>Features / Adepts</t>
        </is>
      </c>
      <c r="D58" s="8" t="inlineStr">
        <is>
          <t>Skill tier: augury is class B</t>
        </is>
      </c>
      <c r="E58" s="8" t="n">
        <v>199</v>
      </c>
      <c r="F58" s="8" t="inlineStr">
        <is>
          <t>*Dovednost B*: Adept</t>
        </is>
      </c>
      <c r="G58" s="8" t="n">
        <v>10</v>
      </c>
      <c r="H58" s="8" t="inlineStr">
        <is>
          <t>SP</t>
        </is>
      </c>
      <c r="I58" s="9" t="inlineStr">
        <is>
          <t>*Dovednost* IV</t>
        </is>
      </c>
    </row>
    <row r="59">
      <c r="A59" s="8" t="inlineStr">
        <is>
          <t>Adept: Craft</t>
        </is>
      </c>
      <c r="B59" s="8" t="inlineStr">
        <is>
          <t>Adept: Řemeslo</t>
        </is>
      </c>
      <c r="C59" s="8" t="inlineStr">
        <is>
          <t>Features / Adepts</t>
        </is>
      </c>
      <c r="D59" s="8" t="inlineStr">
        <is>
          <t>Skill tier: craft is class C</t>
        </is>
      </c>
      <c r="E59" s="8" t="n">
        <v>205</v>
      </c>
      <c r="F59" s="8" t="inlineStr">
        <is>
          <t>*Dovednost C*: Adept</t>
        </is>
      </c>
      <c r="G59" s="8" t="n">
        <v>10</v>
      </c>
      <c r="H59" s="8" t="inlineStr">
        <is>
          <t>SP</t>
        </is>
      </c>
      <c r="I59" s="9" t="inlineStr">
        <is>
          <t>*Dovednost* IV</t>
        </is>
      </c>
    </row>
    <row r="60">
      <c r="A60" s="8" t="inlineStr">
        <is>
          <t>Adept: Dreamwalker</t>
        </is>
      </c>
      <c r="B60" s="8" t="inlineStr">
        <is>
          <t>Adept: Chodec ve snu</t>
        </is>
      </c>
      <c r="C60" s="8" t="inlineStr">
        <is>
          <t>Features / Adepts</t>
        </is>
      </c>
      <c r="D60" s="8" t="inlineStr">
        <is>
          <t>Skill tier: dreamwalker is class B</t>
        </is>
      </c>
      <c r="E60" s="8" t="n">
        <v>199</v>
      </c>
      <c r="F60" s="8" t="inlineStr">
        <is>
          <t>*Dovednost B*: Adept</t>
        </is>
      </c>
      <c r="G60" s="8" t="n">
        <v>10</v>
      </c>
      <c r="H60" s="8" t="inlineStr">
        <is>
          <t>SP</t>
        </is>
      </c>
      <c r="I60" s="9" t="inlineStr">
        <is>
          <t>*Dovednost* IV</t>
        </is>
      </c>
    </row>
    <row r="61">
      <c r="A61" s="8" t="inlineStr">
        <is>
          <t>Adept: Engineering</t>
        </is>
      </c>
      <c r="B61" s="8" t="inlineStr">
        <is>
          <t>Adept: Inženýrství</t>
        </is>
      </c>
      <c r="C61" s="8" t="inlineStr">
        <is>
          <t>Features / Adepts</t>
        </is>
      </c>
      <c r="D61" s="8" t="inlineStr">
        <is>
          <t>Skill tier: engineering is class C</t>
        </is>
      </c>
      <c r="E61" s="8" t="n">
        <v>205</v>
      </c>
      <c r="F61" s="8" t="inlineStr">
        <is>
          <t>*Dovednost C*: Adept</t>
        </is>
      </c>
      <c r="G61" s="8" t="n">
        <v>10</v>
      </c>
      <c r="H61" s="8" t="inlineStr">
        <is>
          <t>SP</t>
        </is>
      </c>
      <c r="I61" s="9" t="inlineStr">
        <is>
          <t>*Dovednost* IV</t>
        </is>
      </c>
    </row>
    <row r="62">
      <c r="A62" s="8" t="inlineStr">
        <is>
          <t>Adept: First aid</t>
        </is>
      </c>
      <c r="B62" s="8" t="inlineStr">
        <is>
          <t>Adept: Ranhojičství</t>
        </is>
      </c>
      <c r="C62" s="8" t="inlineStr">
        <is>
          <t>Features / Adepts</t>
        </is>
      </c>
      <c r="D62" s="8" t="inlineStr">
        <is>
          <t>Skill tier: firstAid is class B</t>
        </is>
      </c>
      <c r="E62" s="8" t="n">
        <v>199</v>
      </c>
      <c r="F62" s="8" t="inlineStr">
        <is>
          <t>*Dovednost B*: Adept</t>
        </is>
      </c>
      <c r="G62" s="8" t="n">
        <v>10</v>
      </c>
      <c r="H62" s="8" t="inlineStr">
        <is>
          <t>SP</t>
        </is>
      </c>
      <c r="I62" s="9" t="inlineStr">
        <is>
          <t>*Dovednost* IV</t>
        </is>
      </c>
    </row>
    <row r="63">
      <c r="A63" s="8" t="inlineStr">
        <is>
          <t>Adept: Leadership</t>
        </is>
      </c>
      <c r="B63" s="8" t="inlineStr">
        <is>
          <t>Adept: Velení</t>
        </is>
      </c>
      <c r="C63" s="8" t="inlineStr">
        <is>
          <t>Features / Adepts</t>
        </is>
      </c>
      <c r="D63" s="8" t="inlineStr">
        <is>
          <t>Skill tier: leadership is class A</t>
        </is>
      </c>
      <c r="E63" s="8" t="n">
        <v>193</v>
      </c>
      <c r="F63" s="8" t="inlineStr">
        <is>
          <t>*Dovednost A*: Adept</t>
        </is>
      </c>
      <c r="G63" s="8" t="n">
        <v>20</v>
      </c>
      <c r="H63" s="8" t="inlineStr">
        <is>
          <t>SP</t>
        </is>
      </c>
      <c r="I63" s="9" t="inlineStr">
        <is>
          <t>*Dovednost* IV</t>
        </is>
      </c>
    </row>
    <row r="64">
      <c r="A64" s="8" t="inlineStr">
        <is>
          <t>Adept: Lockpicking</t>
        </is>
      </c>
      <c r="B64" s="8" t="inlineStr">
        <is>
          <t>Adept: Odemykání zámků</t>
        </is>
      </c>
      <c r="C64" s="8" t="inlineStr">
        <is>
          <t>Features / Adepts</t>
        </is>
      </c>
      <c r="D64" s="8" t="inlineStr">
        <is>
          <t>Skill tier: lockpicking is class C</t>
        </is>
      </c>
      <c r="E64" s="8" t="n">
        <v>205</v>
      </c>
      <c r="F64" s="8" t="inlineStr">
        <is>
          <t>*Dovednost C*: Adept</t>
        </is>
      </c>
      <c r="G64" s="8" t="n">
        <v>10</v>
      </c>
      <c r="H64" s="8" t="inlineStr">
        <is>
          <t>SP</t>
        </is>
      </c>
      <c r="I64" s="9" t="inlineStr">
        <is>
          <t>*Dovednost* IV</t>
        </is>
      </c>
    </row>
    <row r="65">
      <c r="A65" s="8" t="inlineStr">
        <is>
          <t>Adept: Logic</t>
        </is>
      </c>
      <c r="B65" s="8" t="inlineStr">
        <is>
          <t>Adept: Logika</t>
        </is>
      </c>
      <c r="C65" s="8" t="inlineStr">
        <is>
          <t>Features / Adepts</t>
        </is>
      </c>
      <c r="D65" s="8" t="inlineStr">
        <is>
          <t>Skill tier: logic is class C</t>
        </is>
      </c>
      <c r="E65" s="8" t="n">
        <v>205</v>
      </c>
      <c r="F65" s="8" t="inlineStr">
        <is>
          <t>*Dovednost C*: Adept</t>
        </is>
      </c>
      <c r="G65" s="8" t="n">
        <v>10</v>
      </c>
      <c r="H65" s="8" t="inlineStr">
        <is>
          <t>SP</t>
        </is>
      </c>
      <c r="I65" s="9" t="inlineStr">
        <is>
          <t>*Dovednost* IV</t>
        </is>
      </c>
    </row>
    <row r="66">
      <c r="A66" s="8" t="inlineStr">
        <is>
          <t>Adept: Mind Bending</t>
        </is>
      </c>
      <c r="B66" s="8" t="inlineStr">
        <is>
          <t>Adept: Mentální souboj</t>
        </is>
      </c>
      <c r="C66" s="8" t="inlineStr">
        <is>
          <t>Features / Adepts</t>
        </is>
      </c>
      <c r="D66" s="8" t="inlineStr">
        <is>
          <t>Skill tier: mindBending is class B</t>
        </is>
      </c>
      <c r="E66" s="8" t="n">
        <v>199</v>
      </c>
      <c r="F66" s="8" t="inlineStr">
        <is>
          <t>*Dovednost B*: Adept</t>
        </is>
      </c>
      <c r="G66" s="8" t="n">
        <v>10</v>
      </c>
      <c r="H66" s="8" t="inlineStr">
        <is>
          <t>SP</t>
        </is>
      </c>
      <c r="I66" s="9" t="inlineStr">
        <is>
          <t>*Dovednost* IV</t>
        </is>
      </c>
    </row>
    <row r="67">
      <c r="A67" s="8" t="inlineStr">
        <is>
          <t>Adept: Music</t>
        </is>
      </c>
      <c r="B67" s="8" t="inlineStr">
        <is>
          <t>Adept: Hudba</t>
        </is>
      </c>
      <c r="C67" s="8" t="inlineStr">
        <is>
          <t>Features / Adepts</t>
        </is>
      </c>
      <c r="D67" s="8" t="inlineStr">
        <is>
          <t>Skill tier: music is class B</t>
        </is>
      </c>
      <c r="E67" s="8" t="n">
        <v>199</v>
      </c>
      <c r="F67" s="8" t="inlineStr">
        <is>
          <t>*Dovednost B*: Adept</t>
        </is>
      </c>
      <c r="G67" s="8" t="n">
        <v>10</v>
      </c>
      <c r="H67" s="8" t="inlineStr">
        <is>
          <t>SP</t>
        </is>
      </c>
      <c r="I67" s="9" t="inlineStr">
        <is>
          <t>*Dovednost* IV</t>
        </is>
      </c>
    </row>
    <row r="68">
      <c r="A68" s="8" t="inlineStr">
        <is>
          <t>Adept: Painting</t>
        </is>
      </c>
      <c r="B68" s="8" t="inlineStr">
        <is>
          <t>Adept: Malování</t>
        </is>
      </c>
      <c r="C68" s="8" t="inlineStr">
        <is>
          <t>Features / Adepts</t>
        </is>
      </c>
      <c r="D68" s="8" t="inlineStr">
        <is>
          <t>Skill tier: painting is class C</t>
        </is>
      </c>
      <c r="E68" s="8" t="n">
        <v>205</v>
      </c>
      <c r="F68" s="8" t="inlineStr">
        <is>
          <t>*Dovednost C*: Adept</t>
        </is>
      </c>
      <c r="G68" s="8" t="n">
        <v>10</v>
      </c>
      <c r="H68" s="8" t="inlineStr">
        <is>
          <t>SP</t>
        </is>
      </c>
      <c r="I68" s="9" t="inlineStr">
        <is>
          <t>*Dovednost* IV</t>
        </is>
      </c>
    </row>
    <row r="69">
      <c r="A69" s="8" t="inlineStr">
        <is>
          <t>Adept: Pickpocketing</t>
        </is>
      </c>
      <c r="B69" s="8" t="inlineStr">
        <is>
          <t>Adept: Kapsářství</t>
        </is>
      </c>
      <c r="C69" s="8" t="inlineStr">
        <is>
          <t>Features / Adepts</t>
        </is>
      </c>
      <c r="D69" s="8" t="inlineStr">
        <is>
          <t>Skill tier: pickpocketing is class B</t>
        </is>
      </c>
      <c r="E69" s="8" t="n">
        <v>199</v>
      </c>
      <c r="F69" s="8" t="inlineStr">
        <is>
          <t>*Dovednost B*: Adept</t>
        </is>
      </c>
      <c r="G69" s="8" t="n">
        <v>10</v>
      </c>
      <c r="H69" s="8" t="inlineStr">
        <is>
          <t>SP</t>
        </is>
      </c>
      <c r="I69" s="9" t="inlineStr">
        <is>
          <t>*Dovednost* IV</t>
        </is>
      </c>
    </row>
    <row r="70">
      <c r="A70" s="8" t="inlineStr">
        <is>
          <t>Adept: Research</t>
        </is>
      </c>
      <c r="B70" s="8" t="inlineStr">
        <is>
          <t>Adept: Výzkum</t>
        </is>
      </c>
      <c r="C70" s="8" t="inlineStr">
        <is>
          <t>Features / Adepts</t>
        </is>
      </c>
      <c r="D70" s="8" t="inlineStr">
        <is>
          <t>Skill tier: research is class B</t>
        </is>
      </c>
      <c r="E70" s="8" t="n">
        <v>199</v>
      </c>
      <c r="F70" s="8" t="inlineStr">
        <is>
          <t>*Dovednost B*: Adept</t>
        </is>
      </c>
      <c r="G70" s="8" t="n">
        <v>10</v>
      </c>
      <c r="H70" s="8" t="inlineStr">
        <is>
          <t>SP</t>
        </is>
      </c>
      <c r="I70" s="9" t="inlineStr">
        <is>
          <t>*Dovednost* IV</t>
        </is>
      </c>
    </row>
    <row r="71">
      <c r="A71" s="8" t="inlineStr">
        <is>
          <t>Adept: Rituals</t>
        </is>
      </c>
      <c r="B71" s="8" t="inlineStr">
        <is>
          <t>Adept: Rituály</t>
        </is>
      </c>
      <c r="C71" s="8" t="inlineStr">
        <is>
          <t>Features / Adepts</t>
        </is>
      </c>
      <c r="D71" s="8" t="inlineStr">
        <is>
          <t>Skill tier: rituals is class B</t>
        </is>
      </c>
      <c r="E71" s="8" t="n">
        <v>199</v>
      </c>
      <c r="F71" s="8" t="inlineStr">
        <is>
          <t>*Dovednost B*: Adept</t>
        </is>
      </c>
      <c r="G71" s="8" t="n">
        <v>10</v>
      </c>
      <c r="H71" s="8" t="inlineStr">
        <is>
          <t>SP</t>
        </is>
      </c>
      <c r="I71" s="9" t="inlineStr">
        <is>
          <t>*Dovednost* IV</t>
        </is>
      </c>
    </row>
    <row r="72">
      <c r="A72" s="8" t="inlineStr">
        <is>
          <t>Adept: Smithing</t>
        </is>
      </c>
      <c r="B72" s="8" t="inlineStr">
        <is>
          <t>Adept: Kovářství</t>
        </is>
      </c>
      <c r="C72" s="8" t="inlineStr">
        <is>
          <t>Features / Adepts</t>
        </is>
      </c>
      <c r="D72" s="8" t="inlineStr">
        <is>
          <t>Skill tier: smithing is class B</t>
        </is>
      </c>
      <c r="E72" s="8" t="n">
        <v>199</v>
      </c>
      <c r="F72" s="8" t="inlineStr">
        <is>
          <t>*Dovednost B*: Adept</t>
        </is>
      </c>
      <c r="G72" s="8" t="n">
        <v>10</v>
      </c>
      <c r="H72" s="8" t="inlineStr">
        <is>
          <t>SP</t>
        </is>
      </c>
      <c r="I72" s="9" t="inlineStr">
        <is>
          <t>*Dovednost* IV</t>
        </is>
      </c>
    </row>
    <row r="73">
      <c r="A73" s="8" t="inlineStr">
        <is>
          <t>Adept: Stealth</t>
        </is>
      </c>
      <c r="B73" s="8" t="inlineStr">
        <is>
          <t>Adept: Plížení</t>
        </is>
      </c>
      <c r="C73" s="8" t="inlineStr">
        <is>
          <t>Features / Adepts</t>
        </is>
      </c>
      <c r="D73" s="8" t="inlineStr">
        <is>
          <t>Skill tier: stealth is class B</t>
        </is>
      </c>
      <c r="E73" s="8" t="n">
        <v>199</v>
      </c>
      <c r="F73" s="8" t="inlineStr">
        <is>
          <t>*Dovednost B*: Adept</t>
        </is>
      </c>
      <c r="G73" s="8" t="n">
        <v>10</v>
      </c>
      <c r="H73" s="8" t="inlineStr">
        <is>
          <t>SP</t>
        </is>
      </c>
      <c r="I73" s="9" t="inlineStr">
        <is>
          <t>*Dovednost* IV</t>
        </is>
      </c>
    </row>
    <row r="74">
      <c r="A74" s="8" t="inlineStr">
        <is>
          <t>Adept: Tactics</t>
        </is>
      </c>
      <c r="B74" s="8" t="inlineStr">
        <is>
          <t>Adept: Taktika</t>
        </is>
      </c>
      <c r="C74" s="8" t="inlineStr">
        <is>
          <t>Features / Adepts</t>
        </is>
      </c>
      <c r="D74" s="8" t="inlineStr">
        <is>
          <t>Skill tier: tactics is class C</t>
        </is>
      </c>
      <c r="E74" s="8" t="n">
        <v>205</v>
      </c>
      <c r="F74" s="8" t="inlineStr">
        <is>
          <t>*Dovednost C*: Adept</t>
        </is>
      </c>
      <c r="G74" s="8" t="n">
        <v>10</v>
      </c>
      <c r="H74" s="8" t="inlineStr">
        <is>
          <t>SP</t>
        </is>
      </c>
      <c r="I74" s="9" t="inlineStr">
        <is>
          <t>*Dovednost* IV</t>
        </is>
      </c>
    </row>
    <row r="75">
      <c r="A75" s="8" t="inlineStr">
        <is>
          <t>Adept: Traps</t>
        </is>
      </c>
      <c r="B75" s="8" t="inlineStr">
        <is>
          <t>Adept: Pasti</t>
        </is>
      </c>
      <c r="C75" s="8" t="inlineStr">
        <is>
          <t>Features / Adepts</t>
        </is>
      </c>
      <c r="D75" s="8" t="inlineStr">
        <is>
          <t>Skill tier: traps is class C</t>
        </is>
      </c>
      <c r="E75" s="8" t="n">
        <v>205</v>
      </c>
      <c r="F75" s="8" t="inlineStr">
        <is>
          <t>*Dovednost C*: Adept</t>
        </is>
      </c>
      <c r="G75" s="8" t="n">
        <v>10</v>
      </c>
      <c r="H75" s="8" t="inlineStr">
        <is>
          <t>SP</t>
        </is>
      </c>
      <c r="I75" s="9" t="inlineStr">
        <is>
          <t>*Dovednost* IV</t>
        </is>
      </c>
    </row>
    <row r="76">
      <c r="A76" s="8" t="inlineStr">
        <is>
          <t>Expert: Acrobacy</t>
        </is>
      </c>
      <c r="B76" s="8" t="inlineStr">
        <is>
          <t>Expert: Akrobacie</t>
        </is>
      </c>
      <c r="C76" s="8" t="inlineStr">
        <is>
          <t>Features / Experts</t>
        </is>
      </c>
      <c r="D76" s="8" t="inlineStr">
        <is>
          <t>Skill tier: acrobacy is class A</t>
        </is>
      </c>
      <c r="E76" s="8" t="n">
        <v>195</v>
      </c>
      <c r="F76" s="8" t="inlineStr">
        <is>
          <t>*Dovednost A*: Expert</t>
        </is>
      </c>
      <c r="G76" s="8" t="n">
        <v>20</v>
      </c>
      <c r="H76" s="8" t="inlineStr">
        <is>
          <t>SP</t>
        </is>
      </c>
      <c r="I76" s="9" t="inlineStr">
        <is>
          <t>*Dovednost* VI; *Dovednost* Adept</t>
        </is>
      </c>
    </row>
    <row r="77">
      <c r="A77" s="8" t="inlineStr">
        <is>
          <t>Expert: Acting</t>
        </is>
      </c>
      <c r="B77" s="8" t="inlineStr">
        <is>
          <t>Expert: Herectví</t>
        </is>
      </c>
      <c r="C77" s="8" t="inlineStr">
        <is>
          <t>Features / Experts</t>
        </is>
      </c>
      <c r="D77" s="8" t="inlineStr">
        <is>
          <t>Skill tier: acting is class C</t>
        </is>
      </c>
      <c r="E77" s="8" t="n">
        <v>207</v>
      </c>
      <c r="F77" s="8" t="inlineStr">
        <is>
          <t>*Dovednost C*: Expert</t>
        </is>
      </c>
      <c r="G77" s="8" t="n">
        <v>10</v>
      </c>
      <c r="H77" s="8" t="inlineStr">
        <is>
          <t>SP</t>
        </is>
      </c>
      <c r="I77" s="9" t="inlineStr">
        <is>
          <t>*Dovednost* VI; *Dovednost* Adept</t>
        </is>
      </c>
    </row>
    <row r="78">
      <c r="A78" s="8" t="inlineStr">
        <is>
          <t>Expert: Alchemy</t>
        </is>
      </c>
      <c r="B78" s="8" t="inlineStr">
        <is>
          <t>Expert: Alchymie</t>
        </is>
      </c>
      <c r="C78" s="8" t="inlineStr">
        <is>
          <t>Features / Experts</t>
        </is>
      </c>
      <c r="D78" s="8" t="inlineStr">
        <is>
          <t>Skill tier: alchemy is class A</t>
        </is>
      </c>
      <c r="E78" s="8" t="n">
        <v>195</v>
      </c>
      <c r="F78" s="8" t="inlineStr">
        <is>
          <t>*Dovednost A*: Expert</t>
        </is>
      </c>
      <c r="G78" s="8" t="n">
        <v>20</v>
      </c>
      <c r="H78" s="8" t="inlineStr">
        <is>
          <t>SP</t>
        </is>
      </c>
      <c r="I78" s="9" t="inlineStr">
        <is>
          <t>*Dovednost* VI; *Dovednost* Adept</t>
        </is>
      </c>
    </row>
    <row r="79">
      <c r="A79" s="8" t="inlineStr">
        <is>
          <t>Expert: Animal Handling</t>
        </is>
      </c>
      <c r="B79" s="8" t="inlineStr">
        <is>
          <t>Expert: Zacházení se zvířaty</t>
        </is>
      </c>
      <c r="C79" s="8" t="inlineStr">
        <is>
          <t>Features / Experts</t>
        </is>
      </c>
      <c r="D79" s="8" t="inlineStr">
        <is>
          <t>Skill tier: animalHandling is class C</t>
        </is>
      </c>
      <c r="E79" s="8" t="n">
        <v>207</v>
      </c>
      <c r="F79" s="8" t="inlineStr">
        <is>
          <t>*Dovednost C*: Expert</t>
        </is>
      </c>
      <c r="G79" s="8" t="n">
        <v>10</v>
      </c>
      <c r="H79" s="8" t="inlineStr">
        <is>
          <t>SP</t>
        </is>
      </c>
      <c r="I79" s="9" t="inlineStr">
        <is>
          <t>*Dovednost* VI; *Dovednost* Adept</t>
        </is>
      </c>
    </row>
    <row r="80">
      <c r="A80" s="8" t="inlineStr">
        <is>
          <t>Expert: Arcana</t>
        </is>
      </c>
      <c r="B80" s="8" t="inlineStr">
        <is>
          <t>Expert: Arcana</t>
        </is>
      </c>
      <c r="C80" s="8" t="inlineStr">
        <is>
          <t>Features / Experts</t>
        </is>
      </c>
      <c r="D80" s="8" t="inlineStr">
        <is>
          <t>Skill tier: arcana is class B</t>
        </is>
      </c>
      <c r="E80" s="8" t="n">
        <v>201</v>
      </c>
      <c r="F80" s="8" t="inlineStr">
        <is>
          <t>*Dovednost B*: Expert</t>
        </is>
      </c>
      <c r="G80" s="8" t="n">
        <v>15</v>
      </c>
      <c r="H80" s="8" t="inlineStr">
        <is>
          <t>SP</t>
        </is>
      </c>
      <c r="I80" s="9" t="inlineStr">
        <is>
          <t>*Dovednost* VI; *Dovednost* Adept</t>
        </is>
      </c>
    </row>
    <row r="81">
      <c r="A81" s="8" t="inlineStr">
        <is>
          <t>Expert: Art</t>
        </is>
      </c>
      <c r="B81" s="8" t="inlineStr">
        <is>
          <t>Expert: Umělecká tvorba</t>
        </is>
      </c>
      <c r="C81" s="8" t="inlineStr">
        <is>
          <t>Features / Experts</t>
        </is>
      </c>
      <c r="D81" s="8" t="inlineStr">
        <is>
          <t>Skill tier: art is class C</t>
        </is>
      </c>
      <c r="E81" s="8" t="n">
        <v>207</v>
      </c>
      <c r="F81" s="8" t="inlineStr">
        <is>
          <t>*Dovednost C*: Expert</t>
        </is>
      </c>
      <c r="G81" s="8" t="n">
        <v>10</v>
      </c>
      <c r="H81" s="8" t="inlineStr">
        <is>
          <t>SP</t>
        </is>
      </c>
      <c r="I81" s="9" t="inlineStr">
        <is>
          <t>*Dovednost* VI; *Dovednost* Adept</t>
        </is>
      </c>
    </row>
    <row r="82">
      <c r="A82" s="8" t="inlineStr">
        <is>
          <t>Expert: Athletics</t>
        </is>
      </c>
      <c r="B82" s="8" t="inlineStr">
        <is>
          <t>Expert: Atletika</t>
        </is>
      </c>
      <c r="C82" s="8" t="inlineStr">
        <is>
          <t>Features / Experts</t>
        </is>
      </c>
      <c r="D82" s="8" t="inlineStr">
        <is>
          <t>Skill tier: athletics is class B</t>
        </is>
      </c>
      <c r="E82" s="8" t="n">
        <v>201</v>
      </c>
      <c r="F82" s="8" t="inlineStr">
        <is>
          <t>*Dovednost B*: Expert</t>
        </is>
      </c>
      <c r="G82" s="8" t="n">
        <v>15</v>
      </c>
      <c r="H82" s="8" t="inlineStr">
        <is>
          <t>SP</t>
        </is>
      </c>
      <c r="I82" s="9" t="inlineStr">
        <is>
          <t>*Dovednost* VI; *Dovednost* Adept</t>
        </is>
      </c>
    </row>
    <row r="83">
      <c r="A83" s="8" t="inlineStr">
        <is>
          <t>Expert: Augury</t>
        </is>
      </c>
      <c r="B83" s="8" t="inlineStr">
        <is>
          <t>Expert: Věštění</t>
        </is>
      </c>
      <c r="C83" s="8" t="inlineStr">
        <is>
          <t>Features / Experts</t>
        </is>
      </c>
      <c r="D83" s="8" t="inlineStr">
        <is>
          <t>Skill tier: augury is class B</t>
        </is>
      </c>
      <c r="E83" s="8" t="n">
        <v>201</v>
      </c>
      <c r="F83" s="8" t="inlineStr">
        <is>
          <t>*Dovednost B*: Expert</t>
        </is>
      </c>
      <c r="G83" s="8" t="n">
        <v>15</v>
      </c>
      <c r="H83" s="8" t="inlineStr">
        <is>
          <t>SP</t>
        </is>
      </c>
      <c r="I83" s="9" t="inlineStr">
        <is>
          <t>*Dovednost* VI; *Dovednost* Adept</t>
        </is>
      </c>
    </row>
    <row r="84">
      <c r="A84" s="8" t="inlineStr">
        <is>
          <t>Expert: Craft</t>
        </is>
      </c>
      <c r="B84" s="8" t="inlineStr">
        <is>
          <t>Expert: Řemeslo</t>
        </is>
      </c>
      <c r="C84" s="8" t="inlineStr">
        <is>
          <t>Features / Experts</t>
        </is>
      </c>
      <c r="D84" s="8" t="inlineStr">
        <is>
          <t>Skill tier: craft is class C</t>
        </is>
      </c>
      <c r="E84" s="8" t="n">
        <v>207</v>
      </c>
      <c r="F84" s="8" t="inlineStr">
        <is>
          <t>*Dovednost C*: Expert</t>
        </is>
      </c>
      <c r="G84" s="8" t="n">
        <v>10</v>
      </c>
      <c r="H84" s="8" t="inlineStr">
        <is>
          <t>SP</t>
        </is>
      </c>
      <c r="I84" s="9" t="inlineStr">
        <is>
          <t>*Dovednost* VI; *Dovednost* Adept</t>
        </is>
      </c>
    </row>
    <row r="85">
      <c r="A85" s="8" t="inlineStr">
        <is>
          <t>Expert: Dreamwalker</t>
        </is>
      </c>
      <c r="B85" s="8" t="inlineStr">
        <is>
          <t>Expert: Chodec ve snu</t>
        </is>
      </c>
      <c r="C85" s="8" t="inlineStr">
        <is>
          <t>Features / Experts</t>
        </is>
      </c>
      <c r="D85" s="8" t="inlineStr">
        <is>
          <t>Skill tier: dreamwalker is class B</t>
        </is>
      </c>
      <c r="E85" s="8" t="n">
        <v>201</v>
      </c>
      <c r="F85" s="8" t="inlineStr">
        <is>
          <t>*Dovednost B*: Expert</t>
        </is>
      </c>
      <c r="G85" s="8" t="n">
        <v>15</v>
      </c>
      <c r="H85" s="8" t="inlineStr">
        <is>
          <t>SP</t>
        </is>
      </c>
      <c r="I85" s="9" t="inlineStr">
        <is>
          <t>*Dovednost* VI; *Dovednost* Adept</t>
        </is>
      </c>
    </row>
    <row r="86">
      <c r="A86" s="8" t="inlineStr">
        <is>
          <t>Expert: Engineering</t>
        </is>
      </c>
      <c r="B86" s="8" t="inlineStr">
        <is>
          <t>Expert: Inženýrství</t>
        </is>
      </c>
      <c r="C86" s="8" t="inlineStr">
        <is>
          <t>Features / Experts</t>
        </is>
      </c>
      <c r="D86" s="8" t="inlineStr">
        <is>
          <t>Skill tier: engineering is class C</t>
        </is>
      </c>
      <c r="E86" s="8" t="n">
        <v>207</v>
      </c>
      <c r="F86" s="8" t="inlineStr">
        <is>
          <t>*Dovednost C*: Expert</t>
        </is>
      </c>
      <c r="G86" s="8" t="n">
        <v>10</v>
      </c>
      <c r="H86" s="8" t="inlineStr">
        <is>
          <t>SP</t>
        </is>
      </c>
      <c r="I86" s="9" t="inlineStr">
        <is>
          <t>*Dovednost* VI; *Dovednost* Adept</t>
        </is>
      </c>
    </row>
    <row r="87">
      <c r="A87" s="8" t="inlineStr">
        <is>
          <t>Expert: First Aid</t>
        </is>
      </c>
      <c r="B87" s="8" t="inlineStr">
        <is>
          <t>Expert: Ranhojičství</t>
        </is>
      </c>
      <c r="C87" s="8" t="inlineStr">
        <is>
          <t>Features / Experts</t>
        </is>
      </c>
      <c r="D87" s="8" t="inlineStr">
        <is>
          <t>Skill tier: firstAid is class B</t>
        </is>
      </c>
      <c r="E87" s="8" t="n">
        <v>201</v>
      </c>
      <c r="F87" s="8" t="inlineStr">
        <is>
          <t>*Dovednost B*: Expert</t>
        </is>
      </c>
      <c r="G87" s="8" t="n">
        <v>15</v>
      </c>
      <c r="H87" s="8" t="inlineStr">
        <is>
          <t>SP</t>
        </is>
      </c>
      <c r="I87" s="9" t="inlineStr">
        <is>
          <t>*Dovednost* VI; *Dovednost* Adept</t>
        </is>
      </c>
    </row>
    <row r="88">
      <c r="A88" s="8" t="inlineStr">
        <is>
          <t>Expert: Leadership</t>
        </is>
      </c>
      <c r="B88" s="8" t="inlineStr">
        <is>
          <t>Expert: Velení</t>
        </is>
      </c>
      <c r="C88" s="8" t="inlineStr">
        <is>
          <t>Features / Experts</t>
        </is>
      </c>
      <c r="D88" s="8" t="inlineStr">
        <is>
          <t>Skill tier: leadership is class A</t>
        </is>
      </c>
      <c r="E88" s="8" t="n">
        <v>195</v>
      </c>
      <c r="F88" s="8" t="inlineStr">
        <is>
          <t>*Dovednost A*: Expert</t>
        </is>
      </c>
      <c r="G88" s="8" t="n">
        <v>20</v>
      </c>
      <c r="H88" s="8" t="inlineStr">
        <is>
          <t>SP</t>
        </is>
      </c>
      <c r="I88" s="9" t="inlineStr">
        <is>
          <t>*Dovednost* VI; *Dovednost* Adept</t>
        </is>
      </c>
    </row>
    <row r="89">
      <c r="A89" s="8" t="inlineStr">
        <is>
          <t>Expert: Lockpicking</t>
        </is>
      </c>
      <c r="B89" s="8" t="inlineStr">
        <is>
          <t>Expert: Odemykání zámků</t>
        </is>
      </c>
      <c r="C89" s="8" t="inlineStr">
        <is>
          <t>Features / Experts</t>
        </is>
      </c>
      <c r="D89" s="8" t="inlineStr">
        <is>
          <t>Skill tier: lockpicking is class C</t>
        </is>
      </c>
      <c r="E89" s="8" t="n">
        <v>207</v>
      </c>
      <c r="F89" s="8" t="inlineStr">
        <is>
          <t>*Dovednost C*: Expert</t>
        </is>
      </c>
      <c r="G89" s="8" t="n">
        <v>10</v>
      </c>
      <c r="H89" s="8" t="inlineStr">
        <is>
          <t>SP</t>
        </is>
      </c>
      <c r="I89" s="9" t="inlineStr">
        <is>
          <t>*Dovednost* VI; *Dovednost* Adept</t>
        </is>
      </c>
    </row>
    <row r="90">
      <c r="A90" s="8" t="inlineStr">
        <is>
          <t>Expert: Logic</t>
        </is>
      </c>
      <c r="B90" s="8" t="inlineStr">
        <is>
          <t>Expert: Logika</t>
        </is>
      </c>
      <c r="C90" s="8" t="inlineStr">
        <is>
          <t>Features / Experts</t>
        </is>
      </c>
      <c r="D90" s="8" t="inlineStr">
        <is>
          <t>Skill tier: logic is class C</t>
        </is>
      </c>
      <c r="E90" s="8" t="n">
        <v>207</v>
      </c>
      <c r="F90" s="8" t="inlineStr">
        <is>
          <t>*Dovednost C*: Expert</t>
        </is>
      </c>
      <c r="G90" s="8" t="n">
        <v>10</v>
      </c>
      <c r="H90" s="8" t="inlineStr">
        <is>
          <t>SP</t>
        </is>
      </c>
      <c r="I90" s="9" t="inlineStr">
        <is>
          <t>*Dovednost* VI; *Dovednost* Adept</t>
        </is>
      </c>
    </row>
    <row r="91">
      <c r="A91" s="8" t="inlineStr">
        <is>
          <t>Expert: Mind Bending</t>
        </is>
      </c>
      <c r="B91" s="8" t="inlineStr">
        <is>
          <t>Expert: Mentální souboj</t>
        </is>
      </c>
      <c r="C91" s="8" t="inlineStr">
        <is>
          <t>Features / Experts</t>
        </is>
      </c>
      <c r="D91" s="8" t="inlineStr">
        <is>
          <t>Skill tier: mindBending is class B</t>
        </is>
      </c>
      <c r="E91" s="8" t="n">
        <v>201</v>
      </c>
      <c r="F91" s="8" t="inlineStr">
        <is>
          <t>*Dovednost B*: Expert</t>
        </is>
      </c>
      <c r="G91" s="8" t="n">
        <v>15</v>
      </c>
      <c r="H91" s="8" t="inlineStr">
        <is>
          <t>SP</t>
        </is>
      </c>
      <c r="I91" s="9" t="inlineStr">
        <is>
          <t>*Dovednost* VI; *Dovednost* Adept</t>
        </is>
      </c>
    </row>
    <row r="92">
      <c r="A92" s="8" t="inlineStr">
        <is>
          <t>Expert: Music</t>
        </is>
      </c>
      <c r="B92" s="8" t="inlineStr">
        <is>
          <t>Expert: Hudba</t>
        </is>
      </c>
      <c r="C92" s="8" t="inlineStr">
        <is>
          <t>Features / Experts</t>
        </is>
      </c>
      <c r="D92" s="8" t="inlineStr">
        <is>
          <t>Skill tier: music is class B</t>
        </is>
      </c>
      <c r="E92" s="8" t="n">
        <v>201</v>
      </c>
      <c r="F92" s="8" t="inlineStr">
        <is>
          <t>*Dovednost B*: Expert</t>
        </is>
      </c>
      <c r="G92" s="8" t="n">
        <v>15</v>
      </c>
      <c r="H92" s="8" t="inlineStr">
        <is>
          <t>SP</t>
        </is>
      </c>
      <c r="I92" s="9" t="inlineStr">
        <is>
          <t>*Dovednost* VI; *Dovednost* Adept</t>
        </is>
      </c>
    </row>
    <row r="93">
      <c r="A93" s="8" t="inlineStr">
        <is>
          <t>Expert: Painting</t>
        </is>
      </c>
      <c r="B93" s="8" t="inlineStr">
        <is>
          <t>Expert: Malování</t>
        </is>
      </c>
      <c r="C93" s="8" t="inlineStr">
        <is>
          <t>Features / Experts</t>
        </is>
      </c>
      <c r="D93" s="8" t="inlineStr">
        <is>
          <t>Skill tier: painting is class C</t>
        </is>
      </c>
      <c r="E93" s="8" t="n">
        <v>207</v>
      </c>
      <c r="F93" s="8" t="inlineStr">
        <is>
          <t>*Dovednost C*: Expert</t>
        </is>
      </c>
      <c r="G93" s="8" t="n">
        <v>10</v>
      </c>
      <c r="H93" s="8" t="inlineStr">
        <is>
          <t>SP</t>
        </is>
      </c>
      <c r="I93" s="9" t="inlineStr">
        <is>
          <t>*Dovednost* VI; *Dovednost* Adept</t>
        </is>
      </c>
    </row>
    <row r="94">
      <c r="A94" s="8" t="inlineStr">
        <is>
          <t>Expert: Pickpocketing</t>
        </is>
      </c>
      <c r="B94" s="8" t="inlineStr">
        <is>
          <t>Expert: Kapsářství</t>
        </is>
      </c>
      <c r="C94" s="8" t="inlineStr">
        <is>
          <t>Features / Experts</t>
        </is>
      </c>
      <c r="D94" s="8" t="inlineStr">
        <is>
          <t>Skill tier: pickpocketing is class B</t>
        </is>
      </c>
      <c r="E94" s="8" t="n">
        <v>201</v>
      </c>
      <c r="F94" s="8" t="inlineStr">
        <is>
          <t>*Dovednost B*: Expert</t>
        </is>
      </c>
      <c r="G94" s="8" t="n">
        <v>15</v>
      </c>
      <c r="H94" s="8" t="inlineStr">
        <is>
          <t>SP</t>
        </is>
      </c>
      <c r="I94" s="9" t="inlineStr">
        <is>
          <t>*Dovednost* VI; *Dovednost* Adept</t>
        </is>
      </c>
    </row>
    <row r="95">
      <c r="A95" s="8" t="inlineStr">
        <is>
          <t>Expert: Research</t>
        </is>
      </c>
      <c r="B95" s="8" t="inlineStr">
        <is>
          <t>Expert: Výzkum</t>
        </is>
      </c>
      <c r="C95" s="8" t="inlineStr">
        <is>
          <t>Features / Experts</t>
        </is>
      </c>
      <c r="D95" s="8" t="inlineStr">
        <is>
          <t>Skill tier: research is class B</t>
        </is>
      </c>
      <c r="E95" s="8" t="n">
        <v>201</v>
      </c>
      <c r="F95" s="8" t="inlineStr">
        <is>
          <t>*Dovednost B*: Expert</t>
        </is>
      </c>
      <c r="G95" s="8" t="n">
        <v>15</v>
      </c>
      <c r="H95" s="8" t="inlineStr">
        <is>
          <t>SP</t>
        </is>
      </c>
      <c r="I95" s="9" t="inlineStr">
        <is>
          <t>*Dovednost* VI; *Dovednost* Adept</t>
        </is>
      </c>
    </row>
    <row r="96">
      <c r="A96" s="8" t="inlineStr">
        <is>
          <t>Expert: Rituals</t>
        </is>
      </c>
      <c r="B96" s="8" t="inlineStr">
        <is>
          <t>Expert: Rituály</t>
        </is>
      </c>
      <c r="C96" s="8" t="inlineStr">
        <is>
          <t>Features / Experts</t>
        </is>
      </c>
      <c r="D96" s="8" t="inlineStr">
        <is>
          <t>Skill tier: rituals is class B</t>
        </is>
      </c>
      <c r="E96" s="8" t="n">
        <v>201</v>
      </c>
      <c r="F96" s="8" t="inlineStr">
        <is>
          <t>*Dovednost B*: Expert</t>
        </is>
      </c>
      <c r="G96" s="8" t="n">
        <v>15</v>
      </c>
      <c r="H96" s="8" t="inlineStr">
        <is>
          <t>SP</t>
        </is>
      </c>
      <c r="I96" s="9" t="inlineStr">
        <is>
          <t>*Dovednost* VI; *Dovednost* Adept</t>
        </is>
      </c>
    </row>
    <row r="97">
      <c r="A97" s="8" t="inlineStr">
        <is>
          <t>Expert: Smithing</t>
        </is>
      </c>
      <c r="B97" s="8" t="inlineStr">
        <is>
          <t>Expert: Kovářství</t>
        </is>
      </c>
      <c r="C97" s="8" t="inlineStr">
        <is>
          <t>Features / Experts</t>
        </is>
      </c>
      <c r="D97" s="8" t="inlineStr">
        <is>
          <t>Skill tier: smithing is class B</t>
        </is>
      </c>
      <c r="E97" s="8" t="n">
        <v>201</v>
      </c>
      <c r="F97" s="8" t="inlineStr">
        <is>
          <t>*Dovednost B*: Expert</t>
        </is>
      </c>
      <c r="G97" s="8" t="n">
        <v>15</v>
      </c>
      <c r="H97" s="8" t="inlineStr">
        <is>
          <t>SP</t>
        </is>
      </c>
      <c r="I97" s="9" t="inlineStr">
        <is>
          <t>*Dovednost* VI; *Dovednost* Adept</t>
        </is>
      </c>
    </row>
    <row r="98">
      <c r="A98" s="8" t="inlineStr">
        <is>
          <t>Expert: Stealth</t>
        </is>
      </c>
      <c r="B98" s="8" t="inlineStr">
        <is>
          <t>Expert: Plížení</t>
        </is>
      </c>
      <c r="C98" s="8" t="inlineStr">
        <is>
          <t>Features / Experts</t>
        </is>
      </c>
      <c r="D98" s="8" t="inlineStr">
        <is>
          <t>Skill tier: stealth is class B</t>
        </is>
      </c>
      <c r="E98" s="8" t="n">
        <v>201</v>
      </c>
      <c r="F98" s="8" t="inlineStr">
        <is>
          <t>*Dovednost B*: Expert</t>
        </is>
      </c>
      <c r="G98" s="8" t="n">
        <v>15</v>
      </c>
      <c r="H98" s="8" t="inlineStr">
        <is>
          <t>SP</t>
        </is>
      </c>
      <c r="I98" s="9" t="inlineStr">
        <is>
          <t>*Dovednost* VI; *Dovednost* Adept</t>
        </is>
      </c>
    </row>
    <row r="99">
      <c r="A99" s="8" t="inlineStr">
        <is>
          <t>Expert: Tactics</t>
        </is>
      </c>
      <c r="B99" s="8" t="inlineStr">
        <is>
          <t>Expert: Taktika</t>
        </is>
      </c>
      <c r="C99" s="8" t="inlineStr">
        <is>
          <t>Features / Experts</t>
        </is>
      </c>
      <c r="D99" s="8" t="inlineStr">
        <is>
          <t>Skill tier: tactics is class C</t>
        </is>
      </c>
      <c r="E99" s="8" t="n">
        <v>207</v>
      </c>
      <c r="F99" s="8" t="inlineStr">
        <is>
          <t>*Dovednost C*: Expert</t>
        </is>
      </c>
      <c r="G99" s="8" t="n">
        <v>10</v>
      </c>
      <c r="H99" s="8" t="inlineStr">
        <is>
          <t>SP</t>
        </is>
      </c>
      <c r="I99" s="9" t="inlineStr">
        <is>
          <t>*Dovednost* VI; *Dovednost* Adept</t>
        </is>
      </c>
    </row>
    <row r="100">
      <c r="A100" s="8" t="inlineStr">
        <is>
          <t>Expert: Traps</t>
        </is>
      </c>
      <c r="B100" s="8" t="inlineStr">
        <is>
          <t>Expert: Pasti</t>
        </is>
      </c>
      <c r="C100" s="8" t="inlineStr">
        <is>
          <t>Features / Experts</t>
        </is>
      </c>
      <c r="D100" s="8" t="inlineStr">
        <is>
          <t>Skill tier: traps is class C</t>
        </is>
      </c>
      <c r="E100" s="8" t="n">
        <v>207</v>
      </c>
      <c r="F100" s="8" t="inlineStr">
        <is>
          <t>*Dovednost C*: Expert</t>
        </is>
      </c>
      <c r="G100" s="8" t="n">
        <v>10</v>
      </c>
      <c r="H100" s="8" t="inlineStr">
        <is>
          <t>SP</t>
        </is>
      </c>
      <c r="I100" s="9" t="inlineStr">
        <is>
          <t>*Dovednost* VI; *Dovednost* Adept</t>
        </is>
      </c>
    </row>
  </sheetData>
  <autoFilter ref="A1:I1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30" customWidth="1" min="3" max="3"/>
    <col width="7" customWidth="1" min="4" max="4"/>
    <col width="9" customWidth="1" min="5" max="5"/>
    <col width="45" customWidth="1" min="6" max="6"/>
    <col width="80" customWidth="1" min="7" max="7"/>
  </cols>
  <sheetData>
    <row r="1">
      <c r="A1" s="4" t="inlineStr">
        <is>
          <t>Book row #</t>
        </is>
      </c>
      <c r="B1" s="4" t="inlineStr">
        <is>
          <t>Section</t>
        </is>
      </c>
      <c r="C1" s="4" t="inlineStr">
        <is>
          <t>Name (Czech)</t>
        </is>
      </c>
      <c r="D1" s="4" t="inlineStr">
        <is>
          <t>Cost</t>
        </is>
      </c>
      <c r="E1" s="4" t="inlineStr">
        <is>
          <t>Currency</t>
        </is>
      </c>
      <c r="F1" s="4" t="inlineStr">
        <is>
          <t>Requirements (Czech)</t>
        </is>
      </c>
      <c r="G1" s="4" t="inlineStr">
        <is>
          <t>Description (Czech)</t>
        </is>
      </c>
    </row>
    <row r="2">
      <c r="A2" s="8" t="n">
        <v>14</v>
      </c>
      <c r="B2" s="8" t="inlineStr">
        <is>
          <t>Combat</t>
        </is>
      </c>
      <c r="C2" s="8" t="inlineStr">
        <is>
          <t>Adept boje</t>
        </is>
      </c>
      <c r="D2" s="8" t="n">
        <v>10</v>
      </c>
      <c r="E2" s="8" t="inlineStr">
        <is>
          <t>CP</t>
        </is>
      </c>
      <c r="F2" s="9" t="inlineStr">
        <is>
          <t>Souboj V / Střelba V</t>
        </is>
      </c>
      <c r="G2" s="9" t="inlineStr">
        <is>
          <t>Výdrž +5 a Životy +5</t>
        </is>
      </c>
    </row>
    <row r="3">
      <c r="A3" s="8" t="n">
        <v>16</v>
      </c>
      <c r="B3" s="8" t="inlineStr">
        <is>
          <t>Combat</t>
        </is>
      </c>
      <c r="C3" s="8" t="inlineStr">
        <is>
          <t>Expert boje</t>
        </is>
      </c>
      <c r="D3" s="8" t="n">
        <v>10</v>
      </c>
      <c r="E3" s="8" t="inlineStr">
        <is>
          <t>CP</t>
        </is>
      </c>
      <c r="F3" s="9" t="inlineStr">
        <is>
          <t>Doktrína VII; Adept boje</t>
        </is>
      </c>
      <c r="G3" s="9" t="inlineStr">
        <is>
          <t>Výdrž +5 a Životy +5; Umožňuje 1x za den opakovat hod na Zásah, Obranu, Střelbu nebo Vrh (Včetně Kritického neúspěchu)</t>
        </is>
      </c>
    </row>
    <row r="4">
      <c r="A4" s="8" t="n">
        <v>18</v>
      </c>
      <c r="B4" s="8" t="inlineStr">
        <is>
          <t>Combat</t>
        </is>
      </c>
      <c r="C4" s="8" t="inlineStr">
        <is>
          <t>Mistr boje</t>
        </is>
      </c>
      <c r="D4" s="8" t="n">
        <v>20</v>
      </c>
      <c r="E4" s="8" t="inlineStr">
        <is>
          <t>CP</t>
        </is>
      </c>
      <c r="F4" s="9" t="inlineStr">
        <is>
          <t>Doktrína X; Expert boje</t>
        </is>
      </c>
      <c r="G4" s="9" t="inlineStr">
        <is>
          <t>Výdrž +10 a Životy +5; Opakovaný hod na Zásah/Obranu/Střelbu/Vrh nebude spotřebován, pokud vyústí v Kritický úspěch.</t>
        </is>
      </c>
    </row>
    <row r="5">
      <c r="A5" s="8" t="n">
        <v>20</v>
      </c>
      <c r="B5" s="8" t="inlineStr">
        <is>
          <t>Combat</t>
        </is>
      </c>
      <c r="C5" s="8" t="inlineStr">
        <is>
          <t>Akrobatická obrana I</t>
        </is>
      </c>
      <c r="D5" s="8" t="n">
        <v>10</v>
      </c>
      <c r="E5" s="8" t="inlineStr">
        <is>
          <t>CP</t>
        </is>
      </c>
      <c r="F5" s="9" t="inlineStr">
        <is>
          <t>Akrobacie V; Souboj V / Střelba V</t>
        </is>
      </c>
      <c r="G5" s="9" t="inlineStr">
        <is>
          <t>Zvyšuje Kryt o 10% a Úhyb o 10%. Zvyšuje šanci na Kritický úspěch Úhybu o 3%. Zvyšuje hranici úspěchu pro Úhyb na 80%. Umožňuje redukovat přímé magické poškození o 50% při úspěšném versus Testu Úhybu proti Magickému útoku.</t>
        </is>
      </c>
    </row>
    <row r="6">
      <c r="A6" s="8" t="n">
        <v>22</v>
      </c>
      <c r="B6" s="8" t="inlineStr">
        <is>
          <t>Combat</t>
        </is>
      </c>
      <c r="C6" s="8" t="inlineStr">
        <is>
          <t>Akrobatická obrana II</t>
        </is>
      </c>
      <c r="D6" s="8" t="n">
        <v>10</v>
      </c>
      <c r="E6" s="8" t="inlineStr">
        <is>
          <t>CP</t>
        </is>
      </c>
      <c r="F6" s="9" t="inlineStr">
        <is>
          <t>Akrobatická obrana I</t>
        </is>
      </c>
      <c r="G6" s="9" t="inlineStr">
        <is>
          <t>Pokud je vrchní vrstva zbroje Lehká, získá při Úhybu Odklonění +20%</t>
        </is>
      </c>
    </row>
    <row r="7">
      <c r="A7" s="8" t="n">
        <v>24</v>
      </c>
      <c r="B7" s="8" t="inlineStr">
        <is>
          <t>Combat</t>
        </is>
      </c>
      <c r="C7" s="8" t="inlineStr">
        <is>
          <t>Akrobatická obrana III</t>
        </is>
      </c>
      <c r="D7" s="8" t="n">
        <v>10</v>
      </c>
      <c r="E7" s="8" t="inlineStr">
        <is>
          <t>CP</t>
        </is>
      </c>
      <c r="F7" s="9" t="inlineStr">
        <is>
          <t>Akrobatická obrana II; Akrobacie X</t>
        </is>
      </c>
      <c r="G7" s="9" t="inlineStr">
        <is>
          <t>Zvyšuje Úhyb o 10%. Zvyšuje šanci na Kritický úspěch Úhybu o 4%. Ruší hranici úspěchu pro Úhyb.</t>
        </is>
      </c>
    </row>
    <row r="8">
      <c r="A8" s="8" t="n">
        <v>26</v>
      </c>
      <c r="B8" s="8" t="inlineStr">
        <is>
          <t>Combat</t>
        </is>
      </c>
      <c r="C8" s="8" t="inlineStr">
        <is>
          <t>Akrobat I</t>
        </is>
      </c>
      <c r="D8" s="8" t="n">
        <v>0</v>
      </c>
      <c r="E8" s="8" t="inlineStr">
        <is>
          <t>CP</t>
        </is>
      </c>
      <c r="F8" s="9" t="inlineStr">
        <is>
          <t>Akrobatická obrana I</t>
        </is>
      </c>
      <c r="G8" s="9" t="inlineStr">
        <is>
          <t>Pokud je Povalený, může jednou za kolo použít Volnou akci na Test Akrobacie (Velmi těžký), při úspěchu získává 1 Akci. Dodatečně může Testovat Rychlost (Velmi těžký), při úspěchu se nesnižuje Pořadí tahu na 1.</t>
        </is>
      </c>
    </row>
    <row r="9">
      <c r="A9" s="8" t="n">
        <v>28</v>
      </c>
      <c r="B9" s="8" t="inlineStr">
        <is>
          <t>Combat</t>
        </is>
      </c>
      <c r="C9" s="8" t="inlineStr">
        <is>
          <t>Akrobat II</t>
        </is>
      </c>
      <c r="D9" s="8" t="n">
        <v>5</v>
      </c>
      <c r="E9" s="8" t="inlineStr">
        <is>
          <t>CP</t>
        </is>
      </c>
      <c r="F9" s="9" t="inlineStr">
        <is>
          <t>Akrobat I; Akrobacie: Adept</t>
        </is>
      </c>
      <c r="G9" s="9" t="inlineStr">
        <is>
          <t>Má-li být Povalen, může Testovat Akrobacii (-60%), při úspěchu se efektu Povalení vyhne a pohne se o jednu hexu dozadu. Tento pohyb nevyvolá příležitostný útok.</t>
        </is>
      </c>
    </row>
    <row r="10">
      <c r="A10" s="8" t="n">
        <v>30</v>
      </c>
      <c r="B10" s="8" t="inlineStr">
        <is>
          <t>Combat</t>
        </is>
      </c>
      <c r="C10" s="8" t="inlineStr">
        <is>
          <t>Atletická vytrvalost</t>
        </is>
      </c>
      <c r="D10" s="8" t="n">
        <v>20</v>
      </c>
      <c r="E10" s="8" t="inlineStr">
        <is>
          <t>CP</t>
        </is>
      </c>
      <c r="F10" s="9" t="inlineStr">
        <is>
          <t>Atletika V</t>
        </is>
      </c>
      <c r="G10" s="9" t="inlineStr">
        <is>
          <t>Životy +5, Výdrž +10, může 1x za den opakovat hod na soubojový versus Test Síly.</t>
        </is>
      </c>
    </row>
    <row r="11">
      <c r="A11" s="8" t="n">
        <v>32</v>
      </c>
      <c r="B11" s="8" t="inlineStr">
        <is>
          <t>Combat</t>
        </is>
      </c>
      <c r="C11" s="8" t="inlineStr">
        <is>
          <t>Bezpečný krok</t>
        </is>
      </c>
      <c r="D11" s="8" t="n">
        <v>5</v>
      </c>
      <c r="E11" s="8" t="inlineStr">
        <is>
          <t>CP</t>
        </is>
      </c>
      <c r="F11" s="9" t="inlineStr">
        <is>
          <t>Plížení VIII</t>
        </is>
      </c>
      <c r="G11" s="9" t="inlineStr">
        <is>
          <t>Při Pomalém pohybu okolo oponenta může Testovat Plížení (Legendární), při úspěchu nevyvolává Příležitostný útok, při neúspěchu se nemůže bránit.</t>
        </is>
      </c>
    </row>
    <row r="12">
      <c r="A12" s="8" t="n">
        <v>34</v>
      </c>
      <c r="B12" s="8" t="inlineStr">
        <is>
          <t>Combat</t>
        </is>
      </c>
      <c r="C12" s="8" t="inlineStr">
        <is>
          <t>Bijec končetin</t>
        </is>
      </c>
      <c r="D12" s="8" t="n">
        <v>10</v>
      </c>
      <c r="E12" s="8" t="inlineStr">
        <is>
          <t>CP</t>
        </is>
      </c>
      <c r="F12" s="9" t="inlineStr">
        <is>
          <t>Zbraň VIII</t>
        </is>
      </c>
      <c r="G12" s="9" t="inlineStr">
        <is>
          <t>Zásah do rukou, nohou či hlavy způbobuje dodatečné zranění +2d4</t>
        </is>
      </c>
    </row>
    <row r="13">
      <c r="A13" s="8" t="n">
        <v>36</v>
      </c>
      <c r="B13" s="8" t="inlineStr">
        <is>
          <t>Combat</t>
        </is>
      </c>
      <c r="C13" s="8" t="inlineStr">
        <is>
          <t>Bleskové reflexy</t>
        </is>
      </c>
      <c r="D13" s="8" t="n">
        <v>15</v>
      </c>
      <c r="E13" s="8" t="inlineStr">
        <is>
          <t>CP</t>
        </is>
      </c>
      <c r="F13" s="9" t="inlineStr">
        <is>
          <t>Vnímání 4; Doktrína V</t>
        </is>
      </c>
      <c r="G13" s="9" t="inlineStr">
        <is>
          <t>Nepřítel nemá Výhodu na útok za Neviditelnost a útoky na Neviditelný cíl nemají Nevýhodu. Postih za Slepotu je poloviční. Reakce +1</t>
        </is>
      </c>
    </row>
    <row r="14">
      <c r="A14" s="8" t="n">
        <v>38</v>
      </c>
      <c r="B14" s="8" t="inlineStr">
        <is>
          <t>Combat</t>
        </is>
      </c>
      <c r="C14" s="8" t="inlineStr">
        <is>
          <t>Bojový génius I</t>
        </is>
      </c>
      <c r="D14" s="8" t="n">
        <v>5</v>
      </c>
      <c r="E14" s="8" t="inlineStr">
        <is>
          <t>CP</t>
        </is>
      </c>
      <c r="F14" s="9" t="inlineStr">
        <is>
          <t>Doktrína IV; Inteligence 4</t>
        </is>
      </c>
      <c r="G14" s="9" t="inlineStr">
        <is>
          <t>Umožňuje 1x za den opakovat hod na Souboj, Střelbu nebo Vrh</t>
        </is>
      </c>
    </row>
    <row r="15">
      <c r="A15" s="8" t="n">
        <v>40</v>
      </c>
      <c r="B15" s="8" t="inlineStr">
        <is>
          <t>Combat</t>
        </is>
      </c>
      <c r="C15" s="8" t="inlineStr">
        <is>
          <t>Bojový génius II</t>
        </is>
      </c>
      <c r="D15" s="8" t="n">
        <v>10</v>
      </c>
      <c r="E15" s="8" t="inlineStr">
        <is>
          <t>CP</t>
        </is>
      </c>
      <c r="F15" s="9" t="inlineStr">
        <is>
          <t>Bojový génius I; Doktrína VI; Inteligence 5</t>
        </is>
      </c>
      <c r="G15" s="9" t="inlineStr">
        <is>
          <t>Umožňuje 1x za den opakovat hod na Souboj, Střelbu nebo Vrh (Včetně Kritického neúspěchu)</t>
        </is>
      </c>
    </row>
    <row r="16">
      <c r="A16" s="8" t="n">
        <v>42</v>
      </c>
      <c r="B16" s="8" t="inlineStr">
        <is>
          <t>Combat</t>
        </is>
      </c>
      <c r="C16" s="8" t="inlineStr">
        <is>
          <t>Dobrý lovec</t>
        </is>
      </c>
      <c r="D16" s="8" t="n">
        <v>5</v>
      </c>
      <c r="E16" s="8" t="inlineStr">
        <is>
          <t>CP</t>
        </is>
      </c>
      <c r="F16" s="9" t="inlineStr">
        <is>
          <t>Přežití V</t>
        </is>
      </c>
      <c r="G16" s="9" t="inlineStr">
        <is>
          <t>Výhoda na Testy Odolnosti na získání Únavy vlivem nepříznivého počasí či podmínek. Výdrž +5</t>
        </is>
      </c>
    </row>
    <row r="17">
      <c r="A17" s="8" t="n">
        <v>44</v>
      </c>
      <c r="B17" s="8" t="inlineStr">
        <is>
          <t>Combat</t>
        </is>
      </c>
      <c r="C17" s="8" t="inlineStr">
        <is>
          <t>Dřevcový mistr</t>
        </is>
      </c>
      <c r="D17" s="8" t="n">
        <v>5</v>
      </c>
      <c r="E17" s="8" t="inlineStr">
        <is>
          <t>CP</t>
        </is>
      </c>
      <c r="F17" s="9" t="inlineStr">
        <is>
          <t>Dřevcové VI</t>
        </is>
      </c>
      <c r="G17" s="9" t="inlineStr">
        <is>
          <t>Při používání glaivy odemyká akci "Finta", při použávní halapartny odemyká akci "Rozštěpení" a při používání havraního zobáku odemyká akci "Omračující úder"</t>
        </is>
      </c>
    </row>
    <row r="18">
      <c r="A18" s="8" t="n">
        <v>46</v>
      </c>
      <c r="B18" s="8" t="inlineStr">
        <is>
          <t>Combat</t>
        </is>
      </c>
      <c r="C18" s="8" t="inlineStr">
        <is>
          <t>Exotické zbraně I</t>
        </is>
      </c>
      <c r="D18" s="8" t="n">
        <v>0</v>
      </c>
      <c r="E18" s="8" t="inlineStr">
        <is>
          <t>CP</t>
        </is>
      </c>
      <c r="F18" s="9" t="inlineStr">
        <is>
          <t>Mnich II</t>
        </is>
      </c>
      <c r="G18" s="9" t="inlineStr">
        <is>
          <t>Při používání kataru s obranným katarem získává akci "Podseknutí", kterou může modifikovat útoky ve snaze Povalit cíl, výměnou za menší šance na zásah a poloviční zranění. Viz tabulka "Bojové akce" nebo list "Různé info"</t>
        </is>
      </c>
    </row>
    <row r="19">
      <c r="A19" s="8" t="n">
        <v>48</v>
      </c>
      <c r="B19" s="8" t="inlineStr">
        <is>
          <t>Combat</t>
        </is>
      </c>
      <c r="C19" s="8" t="inlineStr">
        <is>
          <t>Exotické zbraně II</t>
        </is>
      </c>
      <c r="D19" s="8" t="n">
        <v>5</v>
      </c>
      <c r="E19" s="8" t="inlineStr">
        <is>
          <t>CP</t>
        </is>
      </c>
      <c r="F19" s="9" t="inlineStr">
        <is>
          <t>Exotické zbraně I; Meče VI</t>
        </is>
      </c>
      <c r="G19" s="9" t="inlineStr">
        <is>
          <t>Při používání kataru s obranným katarem získává akci "Drásání", skrze kterou za 3 výdrže za kolo získává bonusy na Povalený cíl. Viz tabulka "Bojové akce" nebo list "Různé info"</t>
        </is>
      </c>
    </row>
    <row r="20">
      <c r="A20" s="8" t="n">
        <v>50</v>
      </c>
      <c r="B20" s="8" t="inlineStr">
        <is>
          <t>Combat</t>
        </is>
      </c>
      <c r="C20" s="8" t="inlineStr">
        <is>
          <t>Finesa</t>
        </is>
      </c>
      <c r="D20" s="8" t="n">
        <v>10</v>
      </c>
      <c r="E20" s="8" t="inlineStr">
        <is>
          <t>CP</t>
        </is>
      </c>
      <c r="F20" s="9" t="inlineStr">
        <is>
          <t>Obratnost 3; Učitel I;
Obratnost &gt; Síla</t>
        </is>
      </c>
      <c r="G20" s="9" t="inlineStr">
        <is>
          <t>Umožňuje využívat Obratnost místo Síly/Vnímání na bonus na Zásah a Zranění pro vytříbené zbraně. Umožňuje používat Obratnost místo Síly na určení bonusu do dovednosti Rváč. Umožňuje nahradit požadavky na Sílu za Obratnost v dovednosti Rváč.</t>
        </is>
      </c>
    </row>
    <row r="21">
      <c r="A21" s="8" t="n">
        <v>52</v>
      </c>
      <c r="B21" s="8" t="inlineStr">
        <is>
          <t>Combat</t>
        </is>
      </c>
      <c r="C21" s="8" t="inlineStr">
        <is>
          <t>Fuscina Ictus</t>
        </is>
      </c>
      <c r="D21" s="8" t="n">
        <v>5</v>
      </c>
      <c r="E21" s="8" t="inlineStr">
        <is>
          <t>CP</t>
        </is>
      </c>
      <c r="F21" s="9" t="inlineStr">
        <is>
          <t>Dřevcové V</t>
        </is>
      </c>
      <c r="G21" s="9" t="inlineStr">
        <is>
          <t>Při používání trojzubce umožňuje skrze akci "Fuscina Ictus" za 5 výdrže modifikovat některé útoky a zvýšit tak šanci na Krvácení o 120%. Viz tabulka "Bojové akce" nebo list "Různé info"</t>
        </is>
      </c>
    </row>
    <row r="22">
      <c r="A22" s="8" t="n">
        <v>54</v>
      </c>
      <c r="B22" s="8" t="inlineStr">
        <is>
          <t>Combat</t>
        </is>
      </c>
      <c r="C22" s="8" t="inlineStr">
        <is>
          <t>Hluboká rána</t>
        </is>
      </c>
      <c r="D22" s="8" t="n">
        <v>5</v>
      </c>
      <c r="E22" s="8" t="inlineStr">
        <is>
          <t>CP</t>
        </is>
      </c>
      <c r="F22" s="9" t="inlineStr">
        <is>
          <t>Meče IV</t>
        </is>
      </c>
      <c r="G22" s="9" t="inlineStr">
        <is>
          <t>Při používání šavle společně se štítem nebo s volnou rukou má Kritický zásah zvýšenou šanci na Krvácení o +100%</t>
        </is>
      </c>
    </row>
    <row r="23">
      <c r="A23" s="8" t="n">
        <v>56</v>
      </c>
      <c r="B23" s="8" t="inlineStr">
        <is>
          <t>Combat</t>
        </is>
      </c>
      <c r="C23" s="8" t="inlineStr">
        <is>
          <t>Houževnatost</t>
        </is>
      </c>
      <c r="D23" s="8" t="n">
        <v>5</v>
      </c>
      <c r="E23" s="8" t="inlineStr">
        <is>
          <t>CP</t>
        </is>
      </c>
      <c r="F23" s="9" t="inlineStr">
        <is>
          <t>Zbraň VI; Vůle 4</t>
        </is>
      </c>
      <c r="G23" s="9" t="inlineStr">
        <is>
          <t>Pokud je Kriticky zasažen, může vyčerpat Mentální životy, aby snížil stupeň kritického zásahu o jeden za každý vyčerpaný MŽ.</t>
        </is>
      </c>
    </row>
    <row r="24">
      <c r="A24" s="8" t="n">
        <v>58</v>
      </c>
      <c r="B24" s="8" t="inlineStr">
        <is>
          <t>Combat</t>
        </is>
      </c>
      <c r="C24" s="8" t="inlineStr">
        <is>
          <t>Imbroccata</t>
        </is>
      </c>
      <c r="D24" s="8" t="n">
        <v>5</v>
      </c>
      <c r="E24" s="8" t="inlineStr">
        <is>
          <t>CP</t>
        </is>
      </c>
      <c r="F24" s="9" t="inlineStr">
        <is>
          <t>Meče III</t>
        </is>
      </c>
      <c r="G24" s="9" t="inlineStr">
        <is>
          <t>Při používání rapíru není zranění způsobené akcí Útok na slabinu limitováno Průbojností.</t>
        </is>
      </c>
    </row>
    <row r="25">
      <c r="A25" s="8" t="n">
        <v>60</v>
      </c>
      <c r="B25" s="8" t="inlineStr">
        <is>
          <t>Combat</t>
        </is>
      </c>
      <c r="C25" s="8" t="inlineStr">
        <is>
          <t>Jízdní střelec I</t>
        </is>
      </c>
      <c r="D25" s="8" t="n">
        <v>10</v>
      </c>
      <c r="E25" s="8" t="inlineStr">
        <is>
          <t>CP</t>
        </is>
      </c>
      <c r="F25" s="9" t="inlineStr">
        <is>
          <t>Jezdec V; Doktrína I</t>
        </is>
      </c>
      <c r="G25" s="9" t="inlineStr">
        <is>
          <t>Umožňuje využívat doktríny Lukostřelce, Kušníka, Peltasta a Kejklíře při boji ze sedla.</t>
        </is>
      </c>
    </row>
    <row r="26">
      <c r="A26" s="8" t="n">
        <v>62</v>
      </c>
      <c r="B26" s="8" t="inlineStr">
        <is>
          <t>Combat</t>
        </is>
      </c>
      <c r="C26" s="8" t="inlineStr">
        <is>
          <t>Jízdní střelec II</t>
        </is>
      </c>
      <c r="D26" s="8" t="n">
        <v>10</v>
      </c>
      <c r="E26" s="8" t="inlineStr">
        <is>
          <t>CP</t>
        </is>
      </c>
      <c r="F26" s="9" t="inlineStr">
        <is>
          <t>Jízdní střelec I; Jezdec X; Doktrína V</t>
        </is>
      </c>
      <c r="G26" s="9" t="inlineStr">
        <is>
          <t>Odstraňuje postihy do Střelby za Cval a Trysk.</t>
        </is>
      </c>
    </row>
    <row r="27">
      <c r="A27" s="8" t="n">
        <v>64</v>
      </c>
      <c r="B27" s="8" t="inlineStr">
        <is>
          <t>Combat</t>
        </is>
      </c>
      <c r="C27" s="8" t="inlineStr">
        <is>
          <t>Jednooký válečník</t>
        </is>
      </c>
      <c r="D27" s="8" t="n">
        <v>5</v>
      </c>
      <c r="E27" s="8" t="inlineStr">
        <is>
          <t>CP</t>
        </is>
      </c>
      <c r="F27" s="9" t="inlineStr">
        <is>
          <t>Chybějící oko</t>
        </is>
      </c>
      <c r="G27" s="9" t="inlineStr">
        <is>
          <t>Snižuje postih na Obranu, Zásah, Vrh a Střelbu o 5%</t>
        </is>
      </c>
    </row>
    <row r="28">
      <c r="A28" s="8" t="n">
        <v>66</v>
      </c>
      <c r="B28" s="8" t="inlineStr">
        <is>
          <t>Combat</t>
        </is>
      </c>
      <c r="C28" s="8" t="inlineStr">
        <is>
          <t>Kontrola dechu</t>
        </is>
      </c>
      <c r="D28" s="8" t="n">
        <v>5</v>
      </c>
      <c r="E28" s="8" t="inlineStr">
        <is>
          <t>CP</t>
        </is>
      </c>
      <c r="F28" s="9" t="inlineStr">
        <is>
          <t>Meditace III; Učitel I</t>
        </is>
      </c>
      <c r="G28" s="9" t="inlineStr">
        <is>
          <t>Vydrží ve Chvatu o jedno kolo déle. Zadržení dechu +2 kola. Akce Oddech doplňuje o +1 více Výdrže.</t>
        </is>
      </c>
    </row>
    <row r="29">
      <c r="A29" s="8" t="n">
        <v>68</v>
      </c>
      <c r="B29" s="8" t="inlineStr">
        <is>
          <t>Combat</t>
        </is>
      </c>
      <c r="C29" s="8" t="inlineStr">
        <is>
          <t>Kovářova rána</t>
        </is>
      </c>
      <c r="D29" s="8" t="n">
        <v>5</v>
      </c>
      <c r="E29" s="8" t="inlineStr">
        <is>
          <t>CP</t>
        </is>
      </c>
      <c r="F29" s="9" t="inlineStr">
        <is>
          <t>Kovářství VII; Zbraň V</t>
        </is>
      </c>
      <c r="G29" s="9" t="inlineStr">
        <is>
          <t>Průbojnost +1, při zásahu hlavy má Výhodu na Omráčení. Neuplatňuje se na střelbu ani vrh.</t>
        </is>
      </c>
    </row>
    <row r="30">
      <c r="A30" s="8" t="n">
        <v>70</v>
      </c>
      <c r="B30" s="8" t="inlineStr">
        <is>
          <t>Combat</t>
        </is>
      </c>
      <c r="C30" s="8" t="inlineStr">
        <is>
          <t>Krvavé nabodnutí</t>
        </is>
      </c>
      <c r="D30" s="8" t="n">
        <v>5</v>
      </c>
      <c r="E30" s="8" t="inlineStr">
        <is>
          <t>CP</t>
        </is>
      </c>
      <c r="F30" s="9" t="inlineStr">
        <is>
          <t>Pikenýr III / Hoplita</t>
        </is>
      </c>
      <c r="G30" s="9" t="inlineStr">
        <is>
          <t>Po ukončení akce Nabodnutí způsobí cíli dvě Krvácení. Při použití trojzubce způsobuje ještě o jedno Krvácení více.</t>
        </is>
      </c>
    </row>
    <row r="31">
      <c r="A31" s="8" t="n">
        <v>72</v>
      </c>
      <c r="B31" s="8" t="inlineStr">
        <is>
          <t>Combat</t>
        </is>
      </c>
      <c r="C31" s="8" t="inlineStr">
        <is>
          <t>Lovec pikenýrů</t>
        </is>
      </c>
      <c r="D31" s="8" t="n">
        <v>5</v>
      </c>
      <c r="E31" s="8" t="inlineStr">
        <is>
          <t>CP</t>
        </is>
      </c>
      <c r="F31" s="9" t="inlineStr">
        <is>
          <t>Doktrína III</t>
        </is>
      </c>
      <c r="G31" s="9" t="inlineStr">
        <is>
          <t>Při používání krátkého meče, sekerky nebo dýky získává bonus +10% na Zásah proti oponentům se zbraní s Dlouhým dosahem a zásah se počítá jako Zákeřný.</t>
        </is>
      </c>
    </row>
    <row r="32">
      <c r="A32" s="8" t="n">
        <v>74</v>
      </c>
      <c r="B32" s="8" t="inlineStr">
        <is>
          <t>Combat</t>
        </is>
      </c>
      <c r="C32" s="8" t="inlineStr">
        <is>
          <t>Mistr nožů</t>
        </is>
      </c>
      <c r="D32" s="8" t="n">
        <v>10</v>
      </c>
      <c r="E32" s="8" t="inlineStr">
        <is>
          <t>CP</t>
        </is>
      </c>
      <c r="F32" s="9" t="inlineStr">
        <is>
          <t>Kejklíř V</t>
        </is>
      </c>
      <c r="G32" s="9" t="inlineStr">
        <is>
          <t>Zvyšuje zranění při používání Vrhacích nožů o 1d4+1 a šanci na Kritický zásah o 2%</t>
        </is>
      </c>
    </row>
    <row r="33">
      <c r="A33" s="8" t="n">
        <v>76</v>
      </c>
      <c r="B33" s="8" t="inlineStr">
        <is>
          <t>Combat</t>
        </is>
      </c>
      <c r="C33" s="8" t="inlineStr">
        <is>
          <t>Mistr vrhu</t>
        </is>
      </c>
      <c r="D33" s="8" t="n">
        <v>15</v>
      </c>
      <c r="E33" s="8" t="inlineStr">
        <is>
          <t>CP</t>
        </is>
      </c>
      <c r="F33" s="9" t="inlineStr">
        <is>
          <t>Souboj X</t>
        </is>
      </c>
      <c r="G33" s="9" t="inlineStr">
        <is>
          <t>Vrh +10%</t>
        </is>
      </c>
    </row>
    <row r="34">
      <c r="A34" s="8" t="n">
        <v>78</v>
      </c>
      <c r="B34" s="8" t="inlineStr">
        <is>
          <t>Combat</t>
        </is>
      </c>
      <c r="C34" s="8" t="inlineStr">
        <is>
          <t>Nastrčená noha</t>
        </is>
      </c>
      <c r="D34" s="8" t="n">
        <v>10</v>
      </c>
      <c r="E34" s="8" t="inlineStr">
        <is>
          <t>CP</t>
        </is>
      </c>
      <c r="F34" s="9" t="inlineStr">
        <is>
          <t>Pasti V; Zbraň VI</t>
        </is>
      </c>
      <c r="G34" s="9" t="inlineStr">
        <is>
          <t>Pokud se nepřítel pohne okolo, může vyvolat Test Síly/Obratnosti versus Test Obratnosti/Odolnosti na Povalení. Tento Test lze vyvolat před provedením Příležitostného útoku, který může být vyvolán stejným pohybem.</t>
        </is>
      </c>
    </row>
    <row r="35">
      <c r="A35" s="8" t="n">
        <v>80</v>
      </c>
      <c r="B35" s="8" t="inlineStr">
        <is>
          <t>Combat</t>
        </is>
      </c>
      <c r="C35" s="8" t="inlineStr">
        <is>
          <t>Nezdolnost kamene</t>
        </is>
      </c>
      <c r="D35" s="8" t="n">
        <v>20</v>
      </c>
      <c r="E35" s="8" t="inlineStr">
        <is>
          <t>CP</t>
        </is>
      </c>
      <c r="F35" s="9" t="inlineStr">
        <is>
          <t>Odolnost 5; Nemá magický potenciál / vrozenou magii</t>
        </is>
      </c>
      <c r="G35" s="9" t="inlineStr">
        <is>
          <t>Životy +10, šance +15% na imunitu proti kouzlům.</t>
        </is>
      </c>
    </row>
    <row r="36">
      <c r="A36" s="8" t="n">
        <v>82</v>
      </c>
      <c r="B36" s="8" t="inlineStr">
        <is>
          <t>Combat</t>
        </is>
      </c>
      <c r="C36" s="8" t="inlineStr">
        <is>
          <t>Nezničitelný</t>
        </is>
      </c>
      <c r="D36" s="8" t="n">
        <v>20</v>
      </c>
      <c r="E36" s="8" t="inlineStr">
        <is>
          <t>CP</t>
        </is>
      </c>
      <c r="F36" s="9" t="inlineStr">
        <is>
          <t>Tuhý kořínek / Odolnost 6</t>
        </is>
      </c>
      <c r="G36" s="9" t="inlineStr">
        <is>
          <t>Zvyšuje pasivní kvalitu zbroje o 1, Životy +10, Kritický rozsah oponenta -1, garantuje úspěch v Testu Odolnosti při klesnutí na nula životů.</t>
        </is>
      </c>
    </row>
    <row r="37">
      <c r="A37" s="8" t="n">
        <v>84</v>
      </c>
      <c r="B37" s="8" t="inlineStr">
        <is>
          <t>Combat</t>
        </is>
      </c>
      <c r="C37" s="8" t="inlineStr">
        <is>
          <t>Odolný metabolismus</t>
        </is>
      </c>
      <c r="D37" s="8" t="n">
        <v>10</v>
      </c>
      <c r="E37" s="8" t="inlineStr">
        <is>
          <t>CP</t>
        </is>
      </c>
      <c r="F37" s="9" t="inlineStr">
        <is>
          <t>Odolnost 5; Pijáctví V</t>
        </is>
      </c>
      <c r="G37" s="9" t="inlineStr">
        <is>
          <t>Šance 35% na imunitu proti jedům 1. stupně, 25% proti jedům 2. stupně a 5% proti jedům 3. stupně. Při překročení hranice Toxicity Testuje Odolnost (Velmi těžký), při úspěchu trvá Toxický šok pouze jedno kolo a Toxicita se sníží na limit. Jedovaté Kz +5</t>
        </is>
      </c>
    </row>
    <row r="38">
      <c r="A38" s="8" t="n">
        <v>86</v>
      </c>
      <c r="B38" s="8" t="inlineStr">
        <is>
          <t>Combat</t>
        </is>
      </c>
      <c r="C38" s="8" t="inlineStr">
        <is>
          <t>Orlí oko</t>
        </is>
      </c>
      <c r="D38" s="8" t="n">
        <v>20</v>
      </c>
      <c r="E38" s="8" t="inlineStr">
        <is>
          <t>CP</t>
        </is>
      </c>
      <c r="F38" s="9" t="inlineStr">
        <is>
          <t>Palné zbraně V; Učitel I</t>
        </is>
      </c>
      <c r="G38" s="9" t="inlineStr">
        <is>
          <t>Při používání palných zbraní ignoruje Poloviční kryt a snižuje Plný kryt na Poloviční kryt. Palba +5%</t>
        </is>
      </c>
    </row>
    <row r="39">
      <c r="A39" s="8" t="n">
        <v>88</v>
      </c>
      <c r="B39" s="8" t="inlineStr">
        <is>
          <t>Combat</t>
        </is>
      </c>
      <c r="C39" s="8" t="inlineStr">
        <is>
          <t>Pistolník I</t>
        </is>
      </c>
      <c r="D39" s="8" t="n">
        <v>0</v>
      </c>
      <c r="E39" s="8" t="inlineStr">
        <is>
          <t>CP</t>
        </is>
      </c>
      <c r="F39" s="9" t="inlineStr">
        <is>
          <t>Palné zbraně I; Duelista I</t>
        </is>
      </c>
      <c r="G39" s="9" t="inlineStr">
        <is>
          <t>Křesadlová pistole získává bonusy na Palbu a šanci na Kritický zásah z doktríny Duelista, místo doktríny Mušketýr. Křesadlová pistole získává +5% na Palbu. Snižuje postih na Palbu pro Křesadlové pistole držené ve vedlejší ruce o 5%</t>
        </is>
      </c>
    </row>
    <row r="40">
      <c r="A40" s="8" t="n">
        <v>90</v>
      </c>
      <c r="B40" s="8" t="inlineStr">
        <is>
          <t>Combat</t>
        </is>
      </c>
      <c r="C40" s="8" t="inlineStr">
        <is>
          <t>Pistolník II</t>
        </is>
      </c>
      <c r="D40" s="8" t="n">
        <v>0</v>
      </c>
      <c r="E40" s="8" t="inlineStr">
        <is>
          <t>CP</t>
        </is>
      </c>
      <c r="F40" s="9" t="inlineStr">
        <is>
          <t>Pistolník I; Duelista III</t>
        </is>
      </c>
      <c r="G40" s="9" t="inlineStr">
        <is>
          <t>Při používání Křesadlové pistole umožňuje používat akci "Rychlé přebíjení" - Volná akce, 10 výdrže; Jednou za kolo urychlí akci "Přebíjení" o jednu akci.</t>
        </is>
      </c>
    </row>
    <row r="41">
      <c r="A41" s="8" t="n">
        <v>92</v>
      </c>
      <c r="B41" s="8" t="inlineStr">
        <is>
          <t>Combat</t>
        </is>
      </c>
      <c r="C41" s="8" t="inlineStr">
        <is>
          <t>Pistolník III</t>
        </is>
      </c>
      <c r="D41" s="8" t="n">
        <v>0</v>
      </c>
      <c r="E41" s="8" t="inlineStr">
        <is>
          <t>CP</t>
        </is>
      </c>
      <c r="F41" s="9" t="inlineStr">
        <is>
          <t>Pistolník II; Duelista V</t>
        </is>
      </c>
      <c r="G41" s="9" t="inlineStr">
        <is>
          <t>Při používání meče umožňuje používat akci "Rychlý výstřel" - Volná akce, 3 výdrže; Zabije-li oponenta útokem (Souboj), může okamžitě přezbrojit na Křesadlovou pistoli a vystřelit.</t>
        </is>
      </c>
    </row>
    <row r="42">
      <c r="A42" s="8" t="n">
        <v>94</v>
      </c>
      <c r="B42" s="8" t="inlineStr">
        <is>
          <t>Combat</t>
        </is>
      </c>
      <c r="C42" s="8" t="inlineStr">
        <is>
          <t>Pistolník IV</t>
        </is>
      </c>
      <c r="D42" s="8" t="n">
        <v>0</v>
      </c>
      <c r="E42" s="8" t="inlineStr">
        <is>
          <t>CP</t>
        </is>
      </c>
      <c r="F42" s="9" t="inlineStr">
        <is>
          <t>Pistolník III; Duelista VI</t>
        </is>
      </c>
      <c r="G42" s="9" t="inlineStr">
        <is>
          <t>Při používání meče společně s Křesadlovou pistolí umožňuje používat akci "Navazující výstřel" - Volná akce, 3 výdrže; Při úspěšném zásahu (Souboj) může okamžitě vystřelit na stejný cíl s bonusem +20% na Palbu. Po Kritickém zásahu je výstřel garantovaný zásah.</t>
        </is>
      </c>
    </row>
    <row r="43">
      <c r="A43" s="8" t="n">
        <v>96</v>
      </c>
      <c r="B43" s="8" t="inlineStr">
        <is>
          <t>Combat</t>
        </is>
      </c>
      <c r="C43" s="8" t="inlineStr">
        <is>
          <t>Poslední krok</t>
        </is>
      </c>
      <c r="D43" s="8" t="n">
        <v>5</v>
      </c>
      <c r="E43" s="8" t="inlineStr">
        <is>
          <t>CP</t>
        </is>
      </c>
      <c r="F43" s="9" t="inlineStr">
        <is>
          <t>Tanec III</t>
        </is>
      </c>
      <c r="G43" s="9" t="inlineStr">
        <is>
          <t>Může za 10 výdrže udělat dodatečný pohyb kdykoliv se pohne. Tento pohyb může vyvolat Příležitostný útok.</t>
        </is>
      </c>
    </row>
    <row r="44">
      <c r="A44" s="8" t="n">
        <v>98</v>
      </c>
      <c r="B44" s="8" t="inlineStr">
        <is>
          <t>Combat</t>
        </is>
      </c>
      <c r="C44" s="8" t="inlineStr">
        <is>
          <t>Poslední šance</t>
        </is>
      </c>
      <c r="D44" s="8" t="n">
        <v>10</v>
      </c>
      <c r="E44" s="8" t="inlineStr">
        <is>
          <t>CP</t>
        </is>
      </c>
      <c r="F44" s="9" t="inlineStr">
        <is>
          <t>Kejklíř IX</t>
        </is>
      </c>
      <c r="G44" s="9" t="inlineStr">
        <is>
          <t>Při Vícenásobném útoku nebo Vícenásobném vrhu vrhacím nožem, získává bonus +3% na Kritický zásah posledním vrhem a další 3% za každý proti stejnému cíli minutý vrh.</t>
        </is>
      </c>
    </row>
    <row r="45">
      <c r="A45" s="8" t="n">
        <v>100</v>
      </c>
      <c r="B45" s="8" t="inlineStr">
        <is>
          <t>Combat</t>
        </is>
      </c>
      <c r="C45" s="8" t="inlineStr">
        <is>
          <t>Práče I</t>
        </is>
      </c>
      <c r="D45" s="8" t="n">
        <v>0</v>
      </c>
      <c r="E45" s="8" t="inlineStr">
        <is>
          <t>CP</t>
        </is>
      </c>
      <c r="F45" s="9" t="inlineStr">
        <is>
          <t>Peltast I</t>
        </is>
      </c>
      <c r="G45" s="9" t="inlineStr">
        <is>
          <t>Zásahy prakem cílené do hlavy mají zvýšenou šanci na Omráčení o +20% a zranění o +4d4.</t>
        </is>
      </c>
    </row>
    <row r="46">
      <c r="A46" s="8" t="n">
        <v>102</v>
      </c>
      <c r="B46" s="8" t="inlineStr">
        <is>
          <t>Combat</t>
        </is>
      </c>
      <c r="C46" s="8" t="inlineStr">
        <is>
          <t>Práče II</t>
        </is>
      </c>
      <c r="D46" s="8" t="n">
        <v>0</v>
      </c>
      <c r="E46" s="8" t="inlineStr">
        <is>
          <t>CP</t>
        </is>
      </c>
      <c r="F46" s="9" t="inlineStr">
        <is>
          <t>Peltast X; Práče I</t>
        </is>
      </c>
      <c r="G46" s="9" t="inlineStr">
        <is>
          <t>Útoky prakem cílené do hlavy mají snížený postih na zásah o 10%. Prak má zvýšenou šanci na Omráčení o +10%.</t>
        </is>
      </c>
    </row>
    <row r="47">
      <c r="A47" s="8" t="n">
        <v>104</v>
      </c>
      <c r="B47" s="8" t="inlineStr">
        <is>
          <t>Combat</t>
        </is>
      </c>
      <c r="C47" s="8" t="inlineStr">
        <is>
          <t>Precizní výpad</t>
        </is>
      </c>
      <c r="D47" s="8" t="n">
        <v>5</v>
      </c>
      <c r="E47" s="8" t="inlineStr">
        <is>
          <t>CP</t>
        </is>
      </c>
      <c r="F47" s="9" t="inlineStr">
        <is>
          <t>Meče III</t>
        </is>
      </c>
      <c r="G47" s="9" t="inlineStr">
        <is>
          <t>Při používání krátkého meče získává jedno míření před vyhodnocením akce Útok na slabinu.</t>
        </is>
      </c>
    </row>
    <row r="48">
      <c r="A48" s="8" t="n">
        <v>106</v>
      </c>
      <c r="B48" s="8" t="inlineStr">
        <is>
          <t>Combat</t>
        </is>
      </c>
      <c r="C48" s="8" t="inlineStr">
        <is>
          <t>Prohození</t>
        </is>
      </c>
      <c r="D48" s="8" t="n">
        <v>5</v>
      </c>
      <c r="E48" s="8" t="inlineStr">
        <is>
          <t>CP</t>
        </is>
      </c>
      <c r="F48" s="9" t="inlineStr">
        <is>
          <t>Tanec III; Zbraň V</t>
        </is>
      </c>
      <c r="G48" s="9" t="inlineStr">
        <is>
          <t>Ukončí-li pohyb vedle spojence, nebo pokud se vedle spojence nachází a provede pohybovou akci, mohou se za cenu reakcí prohodit bez vyvolání Příležitostných útoků za cenu 2 výdrže.</t>
        </is>
      </c>
    </row>
    <row r="49">
      <c r="A49" s="8" t="n">
        <v>108</v>
      </c>
      <c r="B49" s="8" t="inlineStr">
        <is>
          <t>Combat</t>
        </is>
      </c>
      <c r="C49" s="8" t="inlineStr">
        <is>
          <t>Průbojné rány I</t>
        </is>
      </c>
      <c r="D49" s="8" t="n">
        <v>10</v>
      </c>
      <c r="E49" s="8" t="inlineStr">
        <is>
          <t>CP</t>
        </is>
      </c>
      <c r="F49" s="9" t="inlineStr">
        <is>
          <t>Síla 3</t>
        </is>
      </c>
      <c r="G49" s="9" t="inlineStr">
        <is>
          <t>Zvyšuje Průbojnost o +2. Neaplikuje se na střelbu.</t>
        </is>
      </c>
    </row>
    <row r="50">
      <c r="A50" s="8" t="n">
        <v>110</v>
      </c>
      <c r="B50" s="8" t="inlineStr">
        <is>
          <t>Combat</t>
        </is>
      </c>
      <c r="C50" s="8" t="inlineStr">
        <is>
          <t>Průbojné rány II</t>
        </is>
      </c>
      <c r="D50" s="8" t="n">
        <v>5</v>
      </c>
      <c r="E50" s="8" t="inlineStr">
        <is>
          <t>CP</t>
        </is>
      </c>
      <c r="F50" s="9" t="inlineStr">
        <is>
          <t>Síla 4; Průbojné rány I</t>
        </is>
      </c>
      <c r="G50" s="9" t="inlineStr">
        <is>
          <t>Zvyšuje Průbojnost o +2. Neaplikuje se na střelbu.</t>
        </is>
      </c>
    </row>
    <row r="51">
      <c r="A51" s="8" t="n">
        <v>112</v>
      </c>
      <c r="B51" s="8" t="inlineStr">
        <is>
          <t>Combat</t>
        </is>
      </c>
      <c r="C51" s="8" t="inlineStr">
        <is>
          <t>Brutální rána</t>
        </is>
      </c>
      <c r="D51" s="8" t="n">
        <v>10</v>
      </c>
      <c r="E51" s="8" t="inlineStr">
        <is>
          <t>CP</t>
        </is>
      </c>
      <c r="F51" s="9" t="inlineStr">
        <is>
          <t>Zbraň VII; Průbojné rány II; Síla 6</t>
        </is>
      </c>
      <c r="G51" s="9" t="inlineStr">
        <is>
          <t>Útoky mají Průraznost +1d6. Neaplikuje se na střelbu.</t>
        </is>
      </c>
    </row>
    <row r="52">
      <c r="A52" s="8" t="n">
        <v>114</v>
      </c>
      <c r="B52" s="8" t="inlineStr">
        <is>
          <t>Combat</t>
        </is>
      </c>
      <c r="C52" s="8" t="inlineStr">
        <is>
          <t>Přesný zásah</t>
        </is>
      </c>
      <c r="D52" s="8" t="n">
        <v>5</v>
      </c>
      <c r="E52" s="8" t="inlineStr">
        <is>
          <t>CP</t>
        </is>
      </c>
      <c r="F52" s="9" t="inlineStr">
        <is>
          <t>Vnímání 4</t>
        </is>
      </c>
      <c r="G52" s="9" t="inlineStr">
        <is>
          <t>Zvyšuje šance na Kritický zásah o 3%</t>
        </is>
      </c>
    </row>
    <row r="53">
      <c r="A53" s="8" t="n">
        <v>116</v>
      </c>
      <c r="B53" s="8" t="inlineStr">
        <is>
          <t>Combat</t>
        </is>
      </c>
      <c r="C53" s="8" t="inlineStr">
        <is>
          <t>Přetažení</t>
        </is>
      </c>
      <c r="D53" s="8" t="n">
        <v>5</v>
      </c>
      <c r="E53" s="8" t="inlineStr">
        <is>
          <t>CP</t>
        </is>
      </c>
      <c r="F53" s="9" t="inlineStr">
        <is>
          <t>Doktrína V</t>
        </is>
      </c>
      <c r="G53" s="9" t="inlineStr">
        <is>
          <t>Může za stupeň Únavy opakovat hod na Kritický rozsah. Může jednou za kolo získat stupeň Únavy, aby získal Reakci navíc.</t>
        </is>
      </c>
    </row>
    <row r="54">
      <c r="A54" s="8" t="n">
        <v>118</v>
      </c>
      <c r="B54" s="8" t="inlineStr">
        <is>
          <t>Combat</t>
        </is>
      </c>
      <c r="C54" s="8" t="inlineStr">
        <is>
          <t>Rychlá adaptace I</t>
        </is>
      </c>
      <c r="D54" s="8" t="n">
        <v>5</v>
      </c>
      <c r="E54" s="8" t="inlineStr">
        <is>
          <t>CP</t>
        </is>
      </c>
      <c r="F54" s="9" t="inlineStr">
        <is>
          <t>Obratnost 4; Doktrína V</t>
        </is>
      </c>
      <c r="G54" s="9" t="inlineStr">
        <is>
          <t>Dostává bonus +5% do Zásahu (Maximálně však +20%) pokaždé, když se nepřítel ubrání nebo uhne. Při úspěšném zásahu se bonus resetuje.</t>
        </is>
      </c>
    </row>
    <row r="55">
      <c r="A55" s="8" t="n">
        <v>120</v>
      </c>
      <c r="B55" s="8" t="inlineStr">
        <is>
          <t>Combat</t>
        </is>
      </c>
      <c r="C55" s="8" t="inlineStr">
        <is>
          <t>Rychlá adaptace II</t>
        </is>
      </c>
      <c r="D55" s="8" t="n">
        <v>5</v>
      </c>
      <c r="E55" s="8" t="inlineStr">
        <is>
          <t>CP</t>
        </is>
      </c>
      <c r="F55" s="9" t="inlineStr">
        <is>
          <t>Rychlá adaptace I; Logika V</t>
        </is>
      </c>
      <c r="G55" s="9" t="inlineStr">
        <is>
          <t>Dostává bonus +10% do Zásahu (Maximálně však +20%) pokaždé, když se nepřítel ubrání nebo uhne. Při úspěšném zásahu se bonus resetuje.</t>
        </is>
      </c>
    </row>
    <row r="56">
      <c r="A56" s="8" t="n">
        <v>122</v>
      </c>
      <c r="B56" s="8" t="inlineStr">
        <is>
          <t>Combat</t>
        </is>
      </c>
      <c r="C56" s="8" t="inlineStr">
        <is>
          <t>Rychlá odveta</t>
        </is>
      </c>
      <c r="D56" s="8" t="n">
        <v>10</v>
      </c>
      <c r="E56" s="8" t="inlineStr">
        <is>
          <t>CP</t>
        </is>
      </c>
      <c r="F56" s="9" t="inlineStr">
        <is>
          <t>Doktrína V</t>
        </is>
      </c>
      <c r="G56" s="9" t="inlineStr">
        <is>
          <t>Při používání Lehkých zbraní umožňuje používat akci Odvetný úder</t>
        </is>
      </c>
    </row>
    <row r="57">
      <c r="A57" s="8" t="n">
        <v>124</v>
      </c>
      <c r="B57" s="8" t="inlineStr">
        <is>
          <t>Combat</t>
        </is>
      </c>
      <c r="C57" s="8" t="inlineStr">
        <is>
          <t>Rychlá střelba</t>
        </is>
      </c>
      <c r="D57" s="8" t="n">
        <v>0</v>
      </c>
      <c r="E57" s="8" t="inlineStr">
        <is>
          <t>CP</t>
        </is>
      </c>
      <c r="F57" s="9" t="inlineStr">
        <is>
          <t>Kušník III</t>
        </is>
      </c>
      <c r="G57" s="9" t="inlineStr">
        <is>
          <t>Při používání Trpasličí kuše umožňuje používat akci "Rychlá střelba" - Volná akce, 3 Výdrže; Modifikuje Vícenásobný útok, který nyní stojí pouze jednu akci</t>
        </is>
      </c>
    </row>
    <row r="58">
      <c r="A58" s="8" t="n">
        <v>126</v>
      </c>
      <c r="B58" s="8" t="inlineStr">
        <is>
          <t>Combat</t>
        </is>
      </c>
      <c r="C58" s="8" t="inlineStr">
        <is>
          <t>Rychlé ruce</t>
        </is>
      </c>
      <c r="D58" s="8" t="n">
        <v>15</v>
      </c>
      <c r="E58" s="8" t="inlineStr">
        <is>
          <t>CP</t>
        </is>
      </c>
      <c r="F58" s="9" t="inlineStr">
        <is>
          <t>Doktrína IV; Kapsářství V</t>
        </is>
      </c>
      <c r="G58" s="9" t="inlineStr">
        <is>
          <t>Může jednou za kolo použít Volnou akci na přezbrojení nebo na vypití lektvaru.</t>
        </is>
      </c>
    </row>
    <row r="59">
      <c r="A59" s="8" t="n">
        <v>128</v>
      </c>
      <c r="B59" s="8" t="inlineStr">
        <is>
          <t>Combat</t>
        </is>
      </c>
      <c r="C59" s="8" t="inlineStr">
        <is>
          <t>Rychlý útočník</t>
        </is>
      </c>
      <c r="D59" s="8" t="n">
        <v>5</v>
      </c>
      <c r="E59" s="8" t="inlineStr">
        <is>
          <t>CP</t>
        </is>
      </c>
      <c r="F59" s="9" t="inlineStr">
        <is>
          <t>Zbraň IV</t>
        </is>
      </c>
      <c r="G59" s="9" t="inlineStr">
        <is>
          <t>Používá-li Lehké zbraně v souboji, získává Iniciativu +2</t>
        </is>
      </c>
    </row>
    <row r="60">
      <c r="A60" s="8" t="n">
        <v>130</v>
      </c>
      <c r="B60" s="8" t="inlineStr">
        <is>
          <t>Combat</t>
        </is>
      </c>
      <c r="C60" s="8" t="inlineStr">
        <is>
          <t>Rozseknutí flambergem</t>
        </is>
      </c>
      <c r="D60" s="8" t="n">
        <v>5</v>
      </c>
      <c r="E60" s="8" t="inlineStr">
        <is>
          <t>CP</t>
        </is>
      </c>
      <c r="F60" s="9" t="inlineStr">
        <is>
          <t>Šermíř IV</t>
        </is>
      </c>
      <c r="G60" s="9" t="inlineStr">
        <is>
          <t>Při používání flambergu umožňuje akci "Rozseknutí" jednou zasáhnout dva za sebou se nacházející cíle místo dvou vedle sebe se nacházejících cílů.</t>
        </is>
      </c>
    </row>
    <row r="61">
      <c r="A61" s="8" t="n">
        <v>132</v>
      </c>
      <c r="B61" s="8" t="inlineStr">
        <is>
          <t>Combat</t>
        </is>
      </c>
      <c r="C61" s="8" t="inlineStr">
        <is>
          <t>Rozseknutí sekáčkem</t>
        </is>
      </c>
      <c r="D61" s="8" t="n">
        <v>10</v>
      </c>
      <c r="E61" s="8" t="inlineStr">
        <is>
          <t>CP</t>
        </is>
      </c>
      <c r="F61" s="9" t="inlineStr">
        <is>
          <t>Meče V</t>
        </is>
      </c>
      <c r="G61" s="9" t="inlineStr">
        <is>
          <t>Při používání vojenského sekáčku umožňuje používat akci Rozseknutí.</t>
        </is>
      </c>
    </row>
    <row r="62">
      <c r="A62" s="8" t="n">
        <v>134</v>
      </c>
      <c r="B62" s="8" t="inlineStr">
        <is>
          <t>Combat</t>
        </is>
      </c>
      <c r="C62" s="8" t="inlineStr">
        <is>
          <t>Řezník</t>
        </is>
      </c>
      <c r="D62" s="8" t="n">
        <v>5</v>
      </c>
      <c r="E62" s="8" t="inlineStr">
        <is>
          <t>CP</t>
        </is>
      </c>
      <c r="F62" s="9" t="inlineStr">
        <is>
          <t>Vaření III; Zbraň VII</t>
        </is>
      </c>
      <c r="G62" s="9" t="inlineStr">
        <is>
          <t>Kritický zásah Vojenským sekáčkem nebo Lehkou zbraní má zvýšenou šanci na Krvácení o +100%</t>
        </is>
      </c>
    </row>
    <row r="63">
      <c r="A63" s="8" t="n">
        <v>136</v>
      </c>
      <c r="B63" s="8" t="inlineStr">
        <is>
          <t>Combat</t>
        </is>
      </c>
      <c r="C63" s="8" t="inlineStr">
        <is>
          <t>Sekerník</t>
        </is>
      </c>
      <c r="D63" s="8" t="n">
        <v>10</v>
      </c>
      <c r="E63" s="8" t="inlineStr">
        <is>
          <t>CP</t>
        </is>
      </c>
      <c r="F63" s="9" t="inlineStr">
        <is>
          <t>Sekery IV</t>
        </is>
      </c>
      <c r="G63" s="9" t="inlineStr">
        <is>
          <t>Odemyká akci Hákování (Viz Bojové akce). Při používání těžkých seker získává akce Rozseknutí bonus +5% na Zásah. Při používání bardiche může akce Rozseknutí zasáhnout dodatečný cíl, pokud alespoň jeden původní cíl útoku nebyl zasažen. Při používání dlouhé sekery odemyká akci "Daleké rozseknutí"</t>
        </is>
      </c>
    </row>
    <row r="64">
      <c r="A64" s="8" t="n">
        <v>138</v>
      </c>
      <c r="B64" s="8" t="inlineStr">
        <is>
          <t>Combat</t>
        </is>
      </c>
      <c r="C64" s="8" t="inlineStr">
        <is>
          <t>Smršť výstřelů</t>
        </is>
      </c>
      <c r="D64" s="8" t="n">
        <v>10</v>
      </c>
      <c r="E64" s="8" t="inlineStr">
        <is>
          <t>CP</t>
        </is>
      </c>
      <c r="F64" s="9" t="inlineStr">
        <is>
          <t>Palné zbraně V</t>
        </is>
      </c>
      <c r="G64" s="9" t="inlineStr">
        <is>
          <t>Snižuje postih na Palbu pro křesadlové pistole držené ve vedlejší ruce o 5%. Umožňuje použít akci "Smršť výstřelů" - 2 akce; 8 výdrže; Umožní až čtyřikrát vystřelit s postihem -5% na Palbu na jeden či více cílů. Počet výstřelů je limitován počtem dostupných nabitých křesadlových pistolí.</t>
        </is>
      </c>
    </row>
    <row r="65">
      <c r="A65" s="8" t="n">
        <v>140</v>
      </c>
      <c r="B65" s="8" t="inlineStr">
        <is>
          <t>Combat</t>
        </is>
      </c>
      <c r="C65" s="8" t="inlineStr">
        <is>
          <t>Smrtící výpad I</t>
        </is>
      </c>
      <c r="D65" s="8" t="n">
        <v>5</v>
      </c>
      <c r="E65" s="8" t="inlineStr">
        <is>
          <t>CP</t>
        </is>
      </c>
      <c r="F65" s="9" t="inlineStr">
        <is>
          <t>Meče/Tupé/Dřevcové IV</t>
        </is>
      </c>
      <c r="G65" s="9" t="inlineStr">
        <is>
          <t>Zbraně disponující typem zranění "Bodné" získávají bonus +5 do Kritického zranění a Kritické Průbojnosti. Nevztahuje se na Luky, Kuše, Vrhací zbraně ani Palné zbraně.</t>
        </is>
      </c>
    </row>
    <row r="66">
      <c r="A66" s="8" t="n">
        <v>142</v>
      </c>
      <c r="B66" s="8" t="inlineStr">
        <is>
          <t>Combat</t>
        </is>
      </c>
      <c r="C66" s="8" t="inlineStr">
        <is>
          <t>Smrtící výpad II</t>
        </is>
      </c>
      <c r="D66" s="8" t="n">
        <v>5</v>
      </c>
      <c r="E66" s="8" t="inlineStr">
        <is>
          <t>CP</t>
        </is>
      </c>
      <c r="F66" s="9" t="inlineStr">
        <is>
          <t>Meče/Tupé/Dřevcové VII</t>
        </is>
      </c>
      <c r="G66" s="9" t="inlineStr">
        <is>
          <t>Lehké a Střední zbraně disponující typem zranění "Bodné" získávají bonus +5 do Kritického zranění a Kritické Průbojnosti. Nevztahuje se na Luky, Kuše, Vrhací zbraně ani Palné zbraně.</t>
        </is>
      </c>
    </row>
    <row r="67">
      <c r="A67" s="8" t="n">
        <v>144</v>
      </c>
      <c r="B67" s="8" t="inlineStr">
        <is>
          <t>Combat</t>
        </is>
      </c>
      <c r="C67" s="8" t="inlineStr">
        <is>
          <t>Snadné přebíjení</t>
        </is>
      </c>
      <c r="D67" s="8" t="n">
        <v>0</v>
      </c>
      <c r="E67" s="8" t="inlineStr">
        <is>
          <t>CP</t>
        </is>
      </c>
      <c r="F67" s="9" t="inlineStr">
        <is>
          <t>Kušník IX</t>
        </is>
      </c>
      <c r="G67" s="9" t="inlineStr">
        <is>
          <t>Při používání Jednoruční kuše je akce "Rychlé přebíjení" zlevněna o 6 Výdrže.</t>
        </is>
      </c>
    </row>
    <row r="68">
      <c r="A68" s="8" t="n">
        <v>146</v>
      </c>
      <c r="B68" s="8" t="inlineStr">
        <is>
          <t>Combat</t>
        </is>
      </c>
      <c r="C68" s="8" t="inlineStr">
        <is>
          <t>Specializace na zbraň I</t>
        </is>
      </c>
      <c r="D68" s="8" t="n">
        <v>20</v>
      </c>
      <c r="E68" s="8" t="inlineStr">
        <is>
          <t>CP</t>
        </is>
      </c>
      <c r="F68" s="9" t="inlineStr">
        <is>
          <t>Doktrína IV; Zvláštní příležitost</t>
        </is>
      </c>
      <c r="G68" s="9" t="inlineStr">
        <is>
          <t>Specializace na konkrétní zbraň. Lze vzít vícekrát. Umožňuje 1x za den opakovat hod na Souboj, Střelbu nebo Vrh. Kritická obrana +1%, zranění +1d4</t>
        </is>
      </c>
    </row>
    <row r="69">
      <c r="A69" s="8" t="n">
        <v>148</v>
      </c>
      <c r="B69" s="8" t="inlineStr">
        <is>
          <t>Combat</t>
        </is>
      </c>
      <c r="C69" s="8" t="inlineStr">
        <is>
          <t>Specializace na zbraň II</t>
        </is>
      </c>
      <c r="D69" s="8" t="n">
        <v>25</v>
      </c>
      <c r="E69" s="8" t="inlineStr">
        <is>
          <t>CP</t>
        </is>
      </c>
      <c r="F69" s="9" t="inlineStr">
        <is>
          <t>Specializace na zbraň I; Doktrína/Zbraň VII</t>
        </is>
      </c>
      <c r="G69" s="9" t="inlineStr">
        <is>
          <t>Zásah a Obrana +5% a šance na Kritický zásah +3%, zranění +1d4</t>
        </is>
      </c>
    </row>
    <row r="70">
      <c r="A70" s="8" t="n">
        <v>150</v>
      </c>
      <c r="B70" s="8" t="inlineStr">
        <is>
          <t>Combat</t>
        </is>
      </c>
      <c r="C70" s="8" t="inlineStr">
        <is>
          <t>Spěch</t>
        </is>
      </c>
      <c r="D70" s="8" t="n">
        <v>5</v>
      </c>
      <c r="E70" s="8" t="inlineStr">
        <is>
          <t>CP</t>
        </is>
      </c>
      <c r="F70" s="9" t="inlineStr">
        <is>
          <t>Vnímání 4</t>
        </is>
      </c>
      <c r="G70" s="9" t="inlineStr">
        <is>
          <t>Může získat stupeň Únavy a opakovat hod na Pořadí tahu nebo libovolný Test Rychlosti.</t>
        </is>
      </c>
    </row>
    <row r="71">
      <c r="A71" s="8" t="n">
        <v>152</v>
      </c>
      <c r="B71" s="8" t="inlineStr">
        <is>
          <t>Combat</t>
        </is>
      </c>
      <c r="C71" s="8" t="inlineStr">
        <is>
          <t>Šermířská dýka I</t>
        </is>
      </c>
      <c r="D71" s="8" t="n">
        <v>10</v>
      </c>
      <c r="E71" s="8" t="inlineStr">
        <is>
          <t>CP</t>
        </is>
      </c>
      <c r="F71" s="9" t="inlineStr">
        <is>
          <t>Duelista III</t>
        </is>
      </c>
      <c r="G71" s="9" t="inlineStr">
        <is>
          <t>Při používání šermířské dýky v druhé ruce získává Odklonění +10% a Kritická obrana zvyšuje Dočasné životy o 5. Maximálně lze z tohoto zdroje zvýšit Dočasné životy na 10.</t>
        </is>
      </c>
    </row>
    <row r="72">
      <c r="A72" s="8" t="n">
        <v>154</v>
      </c>
      <c r="B72" s="8" t="inlineStr">
        <is>
          <t>Combat</t>
        </is>
      </c>
      <c r="C72" s="8" t="inlineStr">
        <is>
          <t>Šermířská dýka II</t>
        </is>
      </c>
      <c r="D72" s="8" t="n">
        <v>10</v>
      </c>
      <c r="E72" s="8" t="inlineStr">
        <is>
          <t>CP</t>
        </is>
      </c>
      <c r="F72" s="9" t="inlineStr">
        <is>
          <t>Šermířská dýka I; Duelista V</t>
        </is>
      </c>
      <c r="G72" s="9" t="inlineStr">
        <is>
          <t>Při používání šermířské dýky v druhé ruce získávají odvetné akce bonus +10% na Zásah a může 1x za den opakovat hod na Obranu.</t>
        </is>
      </c>
    </row>
    <row r="73">
      <c r="A73" s="8" t="n">
        <v>156</v>
      </c>
      <c r="B73" s="8" t="inlineStr">
        <is>
          <t>Combat</t>
        </is>
      </c>
      <c r="C73" s="8" t="inlineStr">
        <is>
          <t>Trhání masa</t>
        </is>
      </c>
      <c r="D73" s="8" t="n">
        <v>10</v>
      </c>
      <c r="E73" s="8" t="inlineStr">
        <is>
          <t>CP</t>
        </is>
      </c>
      <c r="F73" s="9" t="inlineStr">
        <is>
          <t>Meče/Sekery V</t>
        </is>
      </c>
      <c r="G73" s="9" t="inlineStr">
        <is>
          <t>Pokud oponent Krvácí, může po zásahu utratit 1 Výdrž, aby znovu aktivoval efekt Krvácení. Lze použít na každé Krvácení jednou za kolo. Pouze při používání seker nebo Vojenského sekáčku.</t>
        </is>
      </c>
    </row>
    <row r="74">
      <c r="A74" s="8" t="n">
        <v>158</v>
      </c>
      <c r="B74" s="8" t="inlineStr">
        <is>
          <t>Combat</t>
        </is>
      </c>
      <c r="C74" s="8" t="inlineStr">
        <is>
          <t>Volná ruka I</t>
        </is>
      </c>
      <c r="D74" s="8" t="n">
        <v>10</v>
      </c>
      <c r="E74" s="8" t="inlineStr">
        <is>
          <t>CP</t>
        </is>
      </c>
      <c r="F74" s="9" t="inlineStr">
        <is>
          <t>Duelista III</t>
        </is>
      </c>
      <c r="G74" s="9" t="inlineStr">
        <is>
          <t>Pokud má volnou ruku, může 1x za den opakovat hod na Útok a získává bonus do zranění +1d6.</t>
        </is>
      </c>
    </row>
    <row r="75">
      <c r="A75" s="8" t="n">
        <v>160</v>
      </c>
      <c r="B75" s="8" t="inlineStr">
        <is>
          <t>Combat</t>
        </is>
      </c>
      <c r="C75" s="8" t="inlineStr">
        <is>
          <t>Volná ruka II</t>
        </is>
      </c>
      <c r="D75" s="8" t="n">
        <v>10</v>
      </c>
      <c r="E75" s="8" t="inlineStr">
        <is>
          <t>CP</t>
        </is>
      </c>
      <c r="F75" s="9" t="inlineStr">
        <is>
          <t>Volná Ruka I; Duelista V</t>
        </is>
      </c>
      <c r="G75" s="9" t="inlineStr">
        <is>
          <t>Pokud má volnou ruku, může jednou za kolo použít Volnou akci na přezbrojení nebo na vypití lektvaru a získává +1d6 zranění.</t>
        </is>
      </c>
    </row>
    <row r="76">
      <c r="A76" s="8" t="n">
        <v>162</v>
      </c>
      <c r="B76" s="8" t="inlineStr">
        <is>
          <t>Combat</t>
        </is>
      </c>
      <c r="C76" s="8" t="inlineStr">
        <is>
          <t>Výcvik se zbrojí I</t>
        </is>
      </c>
      <c r="D76" s="8" t="n">
        <v>5</v>
      </c>
      <c r="E76" s="8" t="inlineStr">
        <is>
          <t>CP</t>
        </is>
      </c>
      <c r="F76" s="9" t="inlineStr">
        <is>
          <t>Odolnost 3; Učitel I</t>
        </is>
      </c>
      <c r="G76" s="9" t="inlineStr">
        <is>
          <t>Umožňuje nosit Brigandinu a Hauberk bez postihu. Postih za konkrétní typ zbroje přetrvává.</t>
        </is>
      </c>
    </row>
    <row r="77">
      <c r="A77" s="8" t="n">
        <v>164</v>
      </c>
      <c r="B77" s="8" t="inlineStr">
        <is>
          <t>Combat</t>
        </is>
      </c>
      <c r="C77" s="8" t="inlineStr">
        <is>
          <t>Výcvik se zbrojí II</t>
        </is>
      </c>
      <c r="D77" s="8" t="n">
        <v>10</v>
      </c>
      <c r="E77" s="8" t="inlineStr">
        <is>
          <t>CP</t>
        </is>
      </c>
      <c r="F77" s="9" t="inlineStr">
        <is>
          <t>Učitel I</t>
        </is>
      </c>
      <c r="G77" s="9" t="inlineStr">
        <is>
          <t>Umožňuje nosit Destičkovou zbroj a Plátovou zbroj bez postihu. Postih za konkrétní typ zbroje přetrvává.</t>
        </is>
      </c>
    </row>
    <row r="78">
      <c r="A78" s="8" t="n">
        <v>166</v>
      </c>
      <c r="B78" s="8" t="inlineStr">
        <is>
          <t>Combat</t>
        </is>
      </c>
      <c r="C78" s="8" t="inlineStr">
        <is>
          <t>Zákeřný boj</t>
        </is>
      </c>
      <c r="D78" s="8" t="n">
        <v>10</v>
      </c>
      <c r="E78" s="8" t="inlineStr">
        <is>
          <t>CP</t>
        </is>
      </c>
      <c r="F78" s="9" t="inlineStr">
        <is>
          <t>Tulák V; Plížení VII</t>
        </is>
      </c>
      <c r="G78" s="9" t="inlineStr">
        <is>
          <t>Po úspěšném zásahu Omráčeného cíle může za 6 výdrže posílit útok na Zákeřný.</t>
        </is>
      </c>
    </row>
    <row r="79">
      <c r="A79" s="8" t="n">
        <v>168</v>
      </c>
      <c r="B79" s="8" t="inlineStr">
        <is>
          <t>Combat</t>
        </is>
      </c>
      <c r="C79" s="8" t="inlineStr">
        <is>
          <t>Zbloudilá rána</t>
        </is>
      </c>
      <c r="D79" s="8" t="n">
        <v>0</v>
      </c>
      <c r="E79" s="8" t="inlineStr">
        <is>
          <t>CP</t>
        </is>
      </c>
      <c r="F79" s="9" t="inlineStr">
        <is>
          <t>Tupé III</t>
        </is>
      </c>
      <c r="G79" s="9" t="inlineStr">
        <is>
          <t>Při používání řemdihu mění výsledek Kritického neúspěchu Útoku na zásah, který způsobí poloviční zranění cíli (Lichý hod) nebo útočníkovi (Sudý hod). Na útoky vedené řemdihem nelze používat akci "Riposta"</t>
        </is>
      </c>
    </row>
    <row r="80">
      <c r="A80" s="8" t="n">
        <v>170</v>
      </c>
      <c r="B80" s="8" t="inlineStr">
        <is>
          <t>Combat</t>
        </is>
      </c>
      <c r="C80" s="8" t="inlineStr">
        <is>
          <t>Zbojník I</t>
        </is>
      </c>
      <c r="D80" s="8" t="n">
        <v>10</v>
      </c>
      <c r="E80" s="8" t="inlineStr">
        <is>
          <t>CP</t>
        </is>
      </c>
      <c r="F80" s="9" t="inlineStr">
        <is>
          <t>Hraničář I; Duelista/Štítonoš I</t>
        </is>
      </c>
      <c r="G80" s="9" t="inlineStr">
        <is>
          <t>Při používání Jednoruční kuše se každý stupeň doktríny Duelista/Štítonoš počítá zároveň jako stupeň doktríny Kušník, se všemi akcemi a bonusy. Pro účely požadavků se doktrína Duelista/Štítonoš počítá jako doktrína Kušník. Snižuje postih na Střelbu pro Jednoruční kuše držené ve vedlejší ruce o 5%</t>
        </is>
      </c>
    </row>
    <row r="81">
      <c r="A81" s="8" t="n">
        <v>172</v>
      </c>
      <c r="B81" s="8" t="inlineStr">
        <is>
          <t>Combat</t>
        </is>
      </c>
      <c r="C81" s="8" t="inlineStr">
        <is>
          <t>Zbojník II</t>
        </is>
      </c>
      <c r="D81" s="8" t="n">
        <v>10</v>
      </c>
      <c r="E81" s="8" t="inlineStr">
        <is>
          <t>CP</t>
        </is>
      </c>
      <c r="F81" s="9" t="inlineStr">
        <is>
          <t>Zbojník I; Duelista//Štítonoš III</t>
        </is>
      </c>
      <c r="G81" s="9" t="inlineStr">
        <is>
          <t>Výstřel z Jednoruční kuše na cíl, na který již v tomto kole zaútočil nebo vystřelil, se počítá jako Zákeřný.</t>
        </is>
      </c>
    </row>
    <row r="82">
      <c r="A82" s="8" t="n">
        <v>174</v>
      </c>
      <c r="B82" s="8" t="inlineStr">
        <is>
          <t>Combat</t>
        </is>
      </c>
      <c r="C82" s="8" t="inlineStr">
        <is>
          <t>Zbojník III</t>
        </is>
      </c>
      <c r="D82" s="8" t="n">
        <v>10</v>
      </c>
      <c r="E82" s="8" t="inlineStr">
        <is>
          <t>CP</t>
        </is>
      </c>
      <c r="F82" s="9" t="inlineStr">
        <is>
          <t>Zbojník II; Duelista VI</t>
        </is>
      </c>
      <c r="G82" s="9" t="inlineStr">
        <is>
          <t>Při používání meče společně s Jednoruční kuší umožňuje používat akci "Navazující výstřel" - Volná akce, 3 výdrže; Při úspěšném zásahu (Souboj) může okamžitě vystřelit na stejný cíl s bonusem +20% na Střelbu. Po kritickém úspěchu je Zásah garantován.</t>
        </is>
      </c>
    </row>
    <row r="83">
      <c r="A83" s="8" t="n">
        <v>176</v>
      </c>
      <c r="B83" s="8" t="inlineStr">
        <is>
          <t>Combat</t>
        </is>
      </c>
      <c r="C83" s="8" t="inlineStr">
        <is>
          <t>Zocelený bojem</t>
        </is>
      </c>
      <c r="D83" s="8" t="n">
        <v>15</v>
      </c>
      <c r="E83" s="8" t="inlineStr">
        <is>
          <t>CP</t>
        </is>
      </c>
      <c r="F83" s="9" t="inlineStr">
        <is>
          <t>Odolnost 5; Zbraň VI</t>
        </is>
      </c>
      <c r="G83" s="9" t="inlineStr">
        <is>
          <t>Bonus +15% na Testy Odolnosti. Jednou za Krátký odpočinek se může vyhnout efektu Omráčení.</t>
        </is>
      </c>
    </row>
    <row r="84">
      <c r="A84" s="8" t="n">
        <v>178</v>
      </c>
      <c r="B84" s="8" t="inlineStr">
        <is>
          <t>Combat</t>
        </is>
      </c>
      <c r="C84" s="8" t="inlineStr">
        <is>
          <t>Železné svaly</t>
        </is>
      </c>
      <c r="D84" s="8" t="n">
        <v>5</v>
      </c>
      <c r="E84" s="8" t="inlineStr">
        <is>
          <t>CP</t>
        </is>
      </c>
      <c r="F84" s="9" t="inlineStr">
        <is>
          <t>Síla &gt; Odolnost</t>
        </is>
      </c>
      <c r="G84" s="9" t="inlineStr">
        <is>
          <t>Modifikátor životů za Sílu je zvýšen na 2</t>
        </is>
      </c>
    </row>
    <row r="85">
      <c r="A85" s="8" t="n">
        <v>185</v>
      </c>
      <c r="B85" s="8" t="inlineStr">
        <is>
          <t>General</t>
        </is>
      </c>
      <c r="C85" s="8" t="inlineStr">
        <is>
          <t>Bezchybný plán</t>
        </is>
      </c>
      <c r="D85" s="8" t="n">
        <v>20</v>
      </c>
      <c r="E85" s="8" t="inlineStr">
        <is>
          <t>SP</t>
        </is>
      </c>
      <c r="F85" s="9" t="inlineStr">
        <is>
          <t>Taktika VI</t>
        </is>
      </c>
      <c r="G85" s="9" t="inlineStr">
        <is>
          <t>Na začátku souboje může Testovat Taktiku (Těžká). Při úspěchu dává vybranému spojenci jednorázovou Reakci navíc. Alternativně může Testovat Taktiku (Legendární), aby dal Reakci celé družině. Tato Reakce může být použita pouze jednou za tento souboj.</t>
        </is>
      </c>
    </row>
    <row r="86">
      <c r="A86" s="8" t="n">
        <v>187</v>
      </c>
      <c r="B86" s="8" t="inlineStr">
        <is>
          <t>General</t>
        </is>
      </c>
      <c r="C86" s="8" t="inlineStr">
        <is>
          <t>Bojová připravenost</t>
        </is>
      </c>
      <c r="D86" s="8" t="n">
        <v>20</v>
      </c>
      <c r="E86" s="8" t="inlineStr">
        <is>
          <t>SP</t>
        </is>
      </c>
      <c r="F86" s="9" t="inlineStr">
        <is>
          <t>Taktika V; Inteligence 3</t>
        </is>
      </c>
      <c r="G86" s="9" t="inlineStr">
        <is>
          <t>Umožňuje sobě nebo libovolnému spojenci zvýšit Pořadí tahu na celý souboj o Taktika/2. Lze použít jednou za souboj, pouze jedním taktikem.</t>
        </is>
      </c>
    </row>
    <row r="87">
      <c r="A87" s="8" t="n">
        <v>189</v>
      </c>
      <c r="B87" s="8" t="inlineStr">
        <is>
          <t>General</t>
        </is>
      </c>
      <c r="C87" s="8" t="inlineStr">
        <is>
          <t>Dlouhá modlitba</t>
        </is>
      </c>
      <c r="D87" s="8" t="n">
        <v>20</v>
      </c>
      <c r="E87" s="8" t="inlineStr">
        <is>
          <t>SP</t>
        </is>
      </c>
      <c r="F87" s="9" t="inlineStr">
        <is>
          <t>Zbožný; Meditace I</t>
        </is>
      </c>
      <c r="G87" s="9" t="inlineStr">
        <is>
          <t>Může jednou za pět dnů strávit den v tichých modlitbách, šance Víra*2+10% na zbavení se bodu šílenství. Při úspěchu se může takto zbavit dalšího bodu šílenství až za měsíc.</t>
        </is>
      </c>
    </row>
    <row r="88">
      <c r="A88" s="8" t="n">
        <v>191</v>
      </c>
      <c r="B88" s="8" t="inlineStr">
        <is>
          <t>General</t>
        </is>
      </c>
      <c r="C88" s="8" t="inlineStr">
        <is>
          <t>Dobrý odhad</t>
        </is>
      </c>
      <c r="D88" s="8" t="n">
        <v>15</v>
      </c>
      <c r="E88" s="8" t="inlineStr">
        <is>
          <t>SP</t>
        </is>
      </c>
      <c r="F88" s="9" t="inlineStr">
        <is>
          <t>Logika X</t>
        </is>
      </c>
      <c r="G88" s="9" t="inlineStr">
        <is>
          <t>Může 1x za den opakovat na libovolnou nebojovou dovednost. Takto opakovaný hod má sníženou šanci na Kritický neúspěch o 10%</t>
        </is>
      </c>
    </row>
    <row r="89">
      <c r="A89" s="8" t="n">
        <v>193</v>
      </c>
      <c r="B89" s="8" t="inlineStr">
        <is>
          <t>General</t>
        </is>
      </c>
      <c r="C89" s="8" t="inlineStr">
        <is>
          <t>*Dovednost A*: Adept</t>
        </is>
      </c>
      <c r="D89" s="8" t="n">
        <v>20</v>
      </c>
      <c r="E89" s="8" t="inlineStr">
        <is>
          <t>SP</t>
        </is>
      </c>
      <c r="F89" s="9" t="inlineStr">
        <is>
          <t>*Dovednost* IV</t>
        </is>
      </c>
      <c r="G89" s="9" t="inlineStr">
        <is>
          <t>Bonus +5% do *Dovednosti*, může 1x za den opakovat hod na *Dovednost*</t>
        </is>
      </c>
    </row>
    <row r="90">
      <c r="A90" s="8" t="n">
        <v>195</v>
      </c>
      <c r="B90" s="8" t="inlineStr">
        <is>
          <t>General</t>
        </is>
      </c>
      <c r="C90" s="8" t="inlineStr">
        <is>
          <t>*Dovednost A*: Expert</t>
        </is>
      </c>
      <c r="D90" s="8" t="n">
        <v>20</v>
      </c>
      <c r="E90" s="8" t="inlineStr">
        <is>
          <t>SP</t>
        </is>
      </c>
      <c r="F90" s="9" t="inlineStr">
        <is>
          <t>*Dovednost* VI; *Dovednost* Adept</t>
        </is>
      </c>
      <c r="G90" s="9" t="inlineStr">
        <is>
          <t>Může 2x za den opakovat hod na *Dovednost*</t>
        </is>
      </c>
    </row>
    <row r="91">
      <c r="A91" s="8" t="n">
        <v>197</v>
      </c>
      <c r="B91" s="8" t="inlineStr">
        <is>
          <t>General</t>
        </is>
      </c>
      <c r="C91" s="8" t="inlineStr">
        <is>
          <t>*Dovednost A*: Mistr</t>
        </is>
      </c>
      <c r="D91" s="8" t="n">
        <v>25</v>
      </c>
      <c r="E91" s="8" t="inlineStr">
        <is>
          <t>SP</t>
        </is>
      </c>
      <c r="F91" s="9" t="inlineStr">
        <is>
          <t>*Dovednost* X; *Dovednost* Expert</t>
        </is>
      </c>
      <c r="G91" s="9" t="inlineStr">
        <is>
          <t>Šance na Kritický úspěch +3% pro *Dovednost*, může 1x za den opakovat hod na *Dovednost* (Včetně Kritického neúspěchu)</t>
        </is>
      </c>
    </row>
    <row r="92">
      <c r="A92" s="8" t="n">
        <v>199</v>
      </c>
      <c r="B92" s="8" t="inlineStr">
        <is>
          <t>General</t>
        </is>
      </c>
      <c r="C92" s="8" t="inlineStr">
        <is>
          <t>*Dovednost B*: Adept</t>
        </is>
      </c>
      <c r="D92" s="8" t="n">
        <v>10</v>
      </c>
      <c r="E92" s="8" t="inlineStr">
        <is>
          <t>SP</t>
        </is>
      </c>
      <c r="F92" s="9" t="inlineStr">
        <is>
          <t>*Dovednost* IV</t>
        </is>
      </c>
      <c r="G92" s="9" t="inlineStr">
        <is>
          <t>Bonus +5% do *Dovednosti*, může 1x za den opakovat hod na *Dovednost*</t>
        </is>
      </c>
    </row>
    <row r="93">
      <c r="A93" s="8" t="n">
        <v>201</v>
      </c>
      <c r="B93" s="8" t="inlineStr">
        <is>
          <t>General</t>
        </is>
      </c>
      <c r="C93" s="8" t="inlineStr">
        <is>
          <t>*Dovednost B*: Expert</t>
        </is>
      </c>
      <c r="D93" s="8" t="n">
        <v>15</v>
      </c>
      <c r="E93" s="8" t="inlineStr">
        <is>
          <t>SP</t>
        </is>
      </c>
      <c r="F93" s="9" t="inlineStr">
        <is>
          <t>*Dovednost* VI; *Dovednost* Adept</t>
        </is>
      </c>
      <c r="G93" s="9" t="inlineStr">
        <is>
          <t>Může 2x za den opakovat hod na *Dovednost*</t>
        </is>
      </c>
    </row>
    <row r="94">
      <c r="A94" s="8" t="n">
        <v>203</v>
      </c>
      <c r="B94" s="8" t="inlineStr">
        <is>
          <t>General</t>
        </is>
      </c>
      <c r="C94" s="8" t="inlineStr">
        <is>
          <t>*Dovednost B*: Mistr</t>
        </is>
      </c>
      <c r="D94" s="8" t="n">
        <v>20</v>
      </c>
      <c r="E94" s="8" t="inlineStr">
        <is>
          <t>SP</t>
        </is>
      </c>
      <c r="F94" s="9" t="inlineStr">
        <is>
          <t>*Dovednost* X; *Dovednost* Expert</t>
        </is>
      </c>
      <c r="G94" s="9" t="inlineStr">
        <is>
          <t>Šance na Kritický úspěch +3% pro *Dovednost*, může 1x za den opakovat hod na *Dovednost* (Včetně Kritického neúspěchu)</t>
        </is>
      </c>
    </row>
    <row r="95">
      <c r="A95" s="8" t="n">
        <v>205</v>
      </c>
      <c r="B95" s="8" t="inlineStr">
        <is>
          <t>General</t>
        </is>
      </c>
      <c r="C95" s="8" t="inlineStr">
        <is>
          <t>*Dovednost C*: Adept</t>
        </is>
      </c>
      <c r="D95" s="8" t="n">
        <v>10</v>
      </c>
      <c r="E95" s="8" t="inlineStr">
        <is>
          <t>SP</t>
        </is>
      </c>
      <c r="F95" s="9" t="inlineStr">
        <is>
          <t>*Dovednost* IV</t>
        </is>
      </c>
      <c r="G95" s="9" t="inlineStr">
        <is>
          <t>Bonus +5% do *Dovednosti*, může 1x za den opakovat hod na *Dovednost*</t>
        </is>
      </c>
    </row>
    <row r="96">
      <c r="A96" s="8" t="n">
        <v>207</v>
      </c>
      <c r="B96" s="8" t="inlineStr">
        <is>
          <t>General</t>
        </is>
      </c>
      <c r="C96" s="8" t="inlineStr">
        <is>
          <t>*Dovednost C*: Expert</t>
        </is>
      </c>
      <c r="D96" s="8" t="n">
        <v>10</v>
      </c>
      <c r="E96" s="8" t="inlineStr">
        <is>
          <t>SP</t>
        </is>
      </c>
      <c r="F96" s="9" t="inlineStr">
        <is>
          <t>*Dovednost* VI; *Dovednost* Adept</t>
        </is>
      </c>
      <c r="G96" s="9" t="inlineStr">
        <is>
          <t>Může 2x za den opakovat hod na *Dovednost*</t>
        </is>
      </c>
    </row>
    <row r="97">
      <c r="A97" s="8" t="n">
        <v>209</v>
      </c>
      <c r="B97" s="8" t="inlineStr">
        <is>
          <t>General</t>
        </is>
      </c>
      <c r="C97" s="8" t="inlineStr">
        <is>
          <t>*Dovednost C*: Mistr</t>
        </is>
      </c>
      <c r="D97" s="8" t="n">
        <v>15</v>
      </c>
      <c r="E97" s="8" t="inlineStr">
        <is>
          <t>SP</t>
        </is>
      </c>
      <c r="F97" s="9" t="inlineStr">
        <is>
          <t>*Dovednost* X; *Dovednost* Expert</t>
        </is>
      </c>
      <c r="G97" s="9" t="inlineStr">
        <is>
          <t>Šance na Kritický úspěch +3% pro *Dovednost*, může 1x za den opakovat hod na *Dovednost* (Včetně Kritického neúspěchu)</t>
        </is>
      </c>
    </row>
    <row r="98">
      <c r="A98" s="8" t="n">
        <v>211</v>
      </c>
      <c r="B98" s="8" t="inlineStr">
        <is>
          <t>General</t>
        </is>
      </c>
      <c r="C98" s="8" t="inlineStr">
        <is>
          <t>Eso v rukávu</t>
        </is>
      </c>
      <c r="D98" s="8" t="n">
        <v>20</v>
      </c>
      <c r="E98" s="8" t="inlineStr">
        <is>
          <t>SP</t>
        </is>
      </c>
      <c r="F98" s="9" t="inlineStr">
        <is>
          <t>Kapsářství IV</t>
        </is>
      </c>
      <c r="G98" s="9" t="inlineStr">
        <is>
          <t>Během některých hazardních her může podvádět pomocí Testu Kapsářství. Při úspěchu získává bonus +40% na Test Štěstí týkající se hazardu. Funguje obdobně jako tradiční Kapsářství, včetně Testu Vnímání oběti (Viz Různé info - Kapsářství). Rovněž umožňuje používání "pouťových triků"</t>
        </is>
      </c>
    </row>
    <row r="99">
      <c r="A99" s="8" t="n">
        <v>213</v>
      </c>
      <c r="B99" s="8" t="inlineStr">
        <is>
          <t>General</t>
        </is>
      </c>
      <c r="C99" s="8" t="inlineStr">
        <is>
          <t>Expertíza</t>
        </is>
      </c>
      <c r="D99" s="8" t="n">
        <v>0</v>
      </c>
      <c r="E99" s="8" t="inlineStr">
        <is>
          <t>SP</t>
        </is>
      </c>
      <c r="F99" s="9" t="inlineStr">
        <is>
          <t>Logika: Expert</t>
        </is>
      </c>
      <c r="G99" s="9" t="inlineStr">
        <is>
          <t>Získává +2% na Kritický úspěch do jedné zvolené nebojové dovednosti.</t>
        </is>
      </c>
    </row>
    <row r="100">
      <c r="A100" s="8" t="n">
        <v>215</v>
      </c>
      <c r="B100" s="8" t="inlineStr">
        <is>
          <t>General</t>
        </is>
      </c>
      <c r="C100" s="8" t="inlineStr">
        <is>
          <t>Felčar I</t>
        </is>
      </c>
      <c r="D100" s="8" t="n">
        <v>20</v>
      </c>
      <c r="E100" s="8" t="inlineStr">
        <is>
          <t>SP</t>
        </is>
      </c>
      <c r="F100" s="9" t="inlineStr">
        <is>
          <t>Ranhojičství: Adept</t>
        </is>
      </c>
      <c r="G100" s="9" t="inlineStr">
        <is>
          <t>Úspěšný Test Ranhojičství léčí o 1d6 více životů.</t>
        </is>
      </c>
    </row>
    <row r="101">
      <c r="A101" s="8" t="n">
        <v>217</v>
      </c>
      <c r="B101" s="8" t="inlineStr">
        <is>
          <t>General</t>
        </is>
      </c>
      <c r="C101" s="8" t="inlineStr">
        <is>
          <t>Felčar II</t>
        </is>
      </c>
      <c r="D101" s="8" t="n">
        <v>20</v>
      </c>
      <c r="E101" s="8" t="inlineStr">
        <is>
          <t>SP</t>
        </is>
      </c>
      <c r="F101" s="9" t="inlineStr">
        <is>
          <t>Felčar I; Ranhojičství: Expert</t>
        </is>
      </c>
      <c r="G101" s="9" t="inlineStr">
        <is>
          <t>Umožňuje skrze Test Ranhojičství (Těžký) snižovat postihy dalších dvou Vážných zranění. Úspěšný Test Ranhojičství léčí o 1d6 více životů.</t>
        </is>
      </c>
    </row>
    <row r="102">
      <c r="A102" s="8" t="n">
        <v>219</v>
      </c>
      <c r="B102" s="8" t="inlineStr">
        <is>
          <t>General</t>
        </is>
      </c>
      <c r="C102" s="8" t="inlineStr">
        <is>
          <t>Gambler</t>
        </is>
      </c>
      <c r="D102" s="8" t="n">
        <v>15</v>
      </c>
      <c r="E102" s="8" t="inlineStr">
        <is>
          <t>SP</t>
        </is>
      </c>
      <c r="F102" s="9" t="inlineStr">
        <is>
          <t>Zvláštní příležitost</t>
        </is>
      </c>
      <c r="G102" s="9" t="inlineStr">
        <is>
          <t>Bonus +10% na Testy Štěstí týkající se hazardu, může dvakrát za den opakovat hod.</t>
        </is>
      </c>
    </row>
    <row r="103">
      <c r="A103" s="8" t="n">
        <v>221</v>
      </c>
      <c r="B103" s="8" t="inlineStr">
        <is>
          <t>General</t>
        </is>
      </c>
      <c r="C103" s="8" t="inlineStr">
        <is>
          <t>Hbitý I</t>
        </is>
      </c>
      <c r="D103" s="8" t="n">
        <v>10</v>
      </c>
      <c r="E103" s="8" t="inlineStr">
        <is>
          <t>SP</t>
        </is>
      </c>
      <c r="F103" s="9" t="inlineStr">
        <is>
          <t>Hbitost I</t>
        </is>
      </c>
      <c r="G103" s="9" t="inlineStr">
        <is>
          <t>Může 1x za den opakovat hod na Obratnost.</t>
        </is>
      </c>
    </row>
    <row r="104">
      <c r="A104" s="8" t="n">
        <v>223</v>
      </c>
      <c r="B104" s="8" t="inlineStr">
        <is>
          <t>General</t>
        </is>
      </c>
      <c r="C104" s="8" t="inlineStr">
        <is>
          <t>Hbitý II</t>
        </is>
      </c>
      <c r="D104" s="8" t="n">
        <v>20</v>
      </c>
      <c r="E104" s="8" t="inlineStr">
        <is>
          <t>SP</t>
        </is>
      </c>
      <c r="F104" s="9" t="inlineStr">
        <is>
          <t>Hbitý I, Hbitost III</t>
        </is>
      </c>
      <c r="G104" s="9" t="inlineStr">
        <is>
          <t>Může 2x za den opakovat hod na Obratnost.</t>
        </is>
      </c>
    </row>
    <row r="105">
      <c r="A105" s="8" t="n">
        <v>225</v>
      </c>
      <c r="B105" s="8" t="inlineStr">
        <is>
          <t>General</t>
        </is>
      </c>
      <c r="C105" s="8" t="inlineStr">
        <is>
          <t>Jezdec</t>
        </is>
      </c>
      <c r="D105" s="8" t="n">
        <v>15</v>
      </c>
      <c r="E105" s="8" t="inlineStr">
        <is>
          <t>SP</t>
        </is>
      </c>
      <c r="F105" s="9" t="inlineStr">
        <is>
          <t>Jezdectví V</t>
        </is>
      </c>
      <c r="G105" s="9" t="inlineStr">
        <is>
          <t>Bonus +5% do Jezdectví, může 2x za den opakovat hod na Jezdectví a šance na Kritické selhání je snížena o 3%</t>
        </is>
      </c>
    </row>
    <row r="106">
      <c r="A106" s="8" t="n">
        <v>227</v>
      </c>
      <c r="B106" s="8" t="inlineStr">
        <is>
          <t>General</t>
        </is>
      </c>
      <c r="C106" s="8" t="inlineStr">
        <is>
          <t>Klid těla</t>
        </is>
      </c>
      <c r="D106" s="8" t="n">
        <v>10</v>
      </c>
      <c r="E106" s="8" t="inlineStr">
        <is>
          <t>SP</t>
        </is>
      </c>
      <c r="F106" s="9" t="inlineStr">
        <is>
          <t>Ocelová vůle</t>
        </is>
      </c>
      <c r="G106" s="9" t="inlineStr">
        <is>
          <t>Kritický úspěch na Test Nervů za účelem získání bodu šílenství vyústí ve ztrátu jednoho bodu šílenství.</t>
        </is>
      </c>
    </row>
    <row r="107">
      <c r="A107" s="8" t="n">
        <v>229</v>
      </c>
      <c r="B107" s="8" t="inlineStr">
        <is>
          <t>General</t>
        </is>
      </c>
      <c r="C107" s="8" t="inlineStr">
        <is>
          <t>Klidná mysl</t>
        </is>
      </c>
      <c r="D107" s="8" t="n">
        <v>20</v>
      </c>
      <c r="E107" s="8" t="inlineStr">
        <is>
          <t>SP</t>
        </is>
      </c>
      <c r="F107" s="9" t="inlineStr">
        <is>
          <t>Meditace III; Učitel I</t>
        </is>
      </c>
      <c r="G107" s="9" t="inlineStr">
        <is>
          <t>Jednou za deset dní se může skrze meditaci pokusit zbavit bodu šílenství, šance 20%. Pokud se úspěšně zbaví bodu, může se o další meditaci pokusit až za měsíc.</t>
        </is>
      </c>
    </row>
    <row r="108">
      <c r="A108" s="8" t="n">
        <v>231</v>
      </c>
      <c r="B108" s="8" t="inlineStr">
        <is>
          <t>General</t>
        </is>
      </c>
      <c r="C108" s="8" t="inlineStr">
        <is>
          <t>Lidem milovaný</t>
        </is>
      </c>
      <c r="D108" s="8" t="n">
        <v>0</v>
      </c>
      <c r="E108" s="8" t="inlineStr">
        <is>
          <t>SP</t>
        </is>
      </c>
      <c r="F108" s="9" t="inlineStr">
        <is>
          <t>Charisma 7</t>
        </is>
      </c>
      <c r="G108" s="9" t="inlineStr">
        <is>
          <t>Může 1x za den opakovat hod na Test Charismy nebo libovolné odvozené dovednosti (Včetně Kritického neúspěchu)</t>
        </is>
      </c>
    </row>
    <row r="109">
      <c r="A109" s="8" t="n">
        <v>233</v>
      </c>
      <c r="B109" s="8" t="inlineStr">
        <is>
          <t>General</t>
        </is>
      </c>
      <c r="C109" s="8" t="inlineStr">
        <is>
          <t>Mečíř</t>
        </is>
      </c>
      <c r="D109" s="8" t="n">
        <v>20</v>
      </c>
      <c r="E109" s="8" t="inlineStr">
        <is>
          <t>SP</t>
        </is>
      </c>
      <c r="F109" s="9" t="inlineStr">
        <is>
          <t>Kovářství IV</t>
        </is>
      </c>
      <c r="G109" s="9" t="inlineStr">
        <is>
          <t>Umožňuje vyrábět vojenské zbraně, Kovářství +10% při výrobě zbraní.</t>
        </is>
      </c>
    </row>
    <row r="110">
      <c r="A110" s="8" t="n">
        <v>235</v>
      </c>
      <c r="B110" s="8" t="inlineStr">
        <is>
          <t>General</t>
        </is>
      </c>
      <c r="C110" s="8" t="inlineStr">
        <is>
          <t>Zbrojíř</t>
        </is>
      </c>
      <c r="D110" s="8" t="n">
        <v>20</v>
      </c>
      <c r="E110" s="8" t="inlineStr">
        <is>
          <t>SP</t>
        </is>
      </c>
      <c r="F110" s="9" t="inlineStr">
        <is>
          <t>Kovářství V</t>
        </is>
      </c>
      <c r="G110" s="9" t="inlineStr">
        <is>
          <t>Umožňuje vyrábět zbroje, Kovářství +10% při výrobě zbrojí.</t>
        </is>
      </c>
    </row>
    <row r="111">
      <c r="A111" s="8" t="n">
        <v>237</v>
      </c>
      <c r="B111" s="8" t="inlineStr">
        <is>
          <t>General</t>
        </is>
      </c>
      <c r="C111" s="8" t="inlineStr">
        <is>
          <t>Mentor</t>
        </is>
      </c>
      <c r="D111" s="8" t="n">
        <v>10</v>
      </c>
      <c r="E111" s="8" t="inlineStr">
        <is>
          <t>SP</t>
        </is>
      </c>
      <c r="F111" s="9" t="inlineStr">
        <is>
          <t>Učitelství III; Učitel III</t>
        </is>
      </c>
      <c r="G111" s="9" t="inlineStr">
        <is>
          <t>Zkracuje výuku svých žáků o 2 nebo 5 dní.</t>
        </is>
      </c>
    </row>
    <row r="112">
      <c r="A112" s="8" t="n">
        <v>239</v>
      </c>
      <c r="B112" s="8" t="inlineStr">
        <is>
          <t>General</t>
        </is>
      </c>
      <c r="C112" s="8" t="inlineStr">
        <is>
          <t>Mistr bylinkář</t>
        </is>
      </c>
      <c r="D112" s="8" t="n">
        <v>15</v>
      </c>
      <c r="E112" s="8" t="inlineStr">
        <is>
          <t>SP</t>
        </is>
      </c>
      <c r="F112" s="9" t="inlineStr">
        <is>
          <t>Bylinkářství V</t>
        </is>
      </c>
      <c r="G112" s="9" t="inlineStr">
        <is>
          <t>Bonus +5% do Bylinkářství, může 2x za den opakovat hod na Bylinkářství a šance na Kritické selhání je snížena o 3%</t>
        </is>
      </c>
    </row>
    <row r="113">
      <c r="A113" s="8" t="n">
        <v>241</v>
      </c>
      <c r="B113" s="8" t="inlineStr">
        <is>
          <t>General</t>
        </is>
      </c>
      <c r="C113" s="8" t="inlineStr">
        <is>
          <t>Mistr pastí</t>
        </is>
      </c>
      <c r="D113" s="8" t="n">
        <v>20</v>
      </c>
      <c r="E113" s="8" t="inlineStr">
        <is>
          <t>SP</t>
        </is>
      </c>
      <c r="F113" s="9" t="inlineStr">
        <is>
          <t>Inženýrství IV; Pasti VI</t>
        </is>
      </c>
      <c r="G113" s="9" t="inlineStr">
        <is>
          <t>Zvyšuje Detekci o +4. Snižuje šanci na Kritické selhání Pastí o 3%</t>
        </is>
      </c>
    </row>
    <row r="114">
      <c r="A114" s="8" t="n">
        <v>243</v>
      </c>
      <c r="B114" s="8" t="inlineStr">
        <is>
          <t>General</t>
        </is>
      </c>
      <c r="C114" s="8" t="inlineStr">
        <is>
          <t>Mistr slov</t>
        </is>
      </c>
      <c r="D114" s="8" t="n">
        <v>20</v>
      </c>
      <c r="E114" s="8" t="inlineStr">
        <is>
          <t>SP</t>
        </is>
      </c>
      <c r="F114" s="9" t="inlineStr">
        <is>
          <t>Charisma 4; *Dovednost* V</t>
        </is>
      </c>
      <c r="G114" s="9" t="inlineStr">
        <is>
          <t>Může 2x za den opakovat hod na Klamání, Přesvědčování, Pokoušení nebo Zastrašování. Zároveň pro tyto dovednosti snižuje šanci na Kritické selhání o 3%</t>
        </is>
      </c>
    </row>
    <row r="115">
      <c r="A115" s="8" t="n">
        <v>245</v>
      </c>
      <c r="B115" s="8" t="inlineStr">
        <is>
          <t>General</t>
        </is>
      </c>
      <c r="C115" s="8" t="inlineStr">
        <is>
          <t>Mistr zloděj</t>
        </is>
      </c>
      <c r="D115" s="8" t="n">
        <v>10</v>
      </c>
      <c r="E115" s="8" t="inlineStr">
        <is>
          <t>SP</t>
        </is>
      </c>
      <c r="F115" s="9" t="inlineStr">
        <is>
          <t>Kapsářství VI; Odemykání zámků VI</t>
        </is>
      </c>
      <c r="G115" s="9" t="inlineStr">
        <is>
          <t>Snižuje šanci na Kritické selhání o 3% pro dovednosti Kapsářství a Odemykání zámků.</t>
        </is>
      </c>
    </row>
    <row r="116">
      <c r="A116" s="8" t="n">
        <v>247</v>
      </c>
      <c r="B116" s="8" t="inlineStr">
        <is>
          <t>General</t>
        </is>
      </c>
      <c r="C116" s="8" t="inlineStr">
        <is>
          <t>Mocné sevření</t>
        </is>
      </c>
      <c r="D116" s="8" t="n">
        <v>5</v>
      </c>
      <c r="E116" s="8" t="inlineStr">
        <is>
          <t>SP</t>
        </is>
      </c>
      <c r="F116" s="9" t="inlineStr">
        <is>
          <t>Kovářství V</t>
        </is>
      </c>
      <c r="G116" s="9" t="inlineStr">
        <is>
          <t>Může 1x za den opakovat hod na Sílu.</t>
        </is>
      </c>
    </row>
    <row r="117">
      <c r="A117" s="8" t="n">
        <v>249</v>
      </c>
      <c r="B117" s="8" t="inlineStr">
        <is>
          <t>General</t>
        </is>
      </c>
      <c r="C117" s="8" t="inlineStr">
        <is>
          <t>Mořeplavec</t>
        </is>
      </c>
      <c r="D117" s="8" t="n">
        <v>15</v>
      </c>
      <c r="E117" s="8" t="inlineStr">
        <is>
          <t>SP</t>
        </is>
      </c>
      <c r="F117" s="9" t="inlineStr">
        <is>
          <t>Mořeplavba V</t>
        </is>
      </c>
      <c r="G117" s="9" t="inlineStr">
        <is>
          <t>Bonus +5% do Mořeplavby, může 2x za den opakovat hod na Mořeplavbu a šance na Kritické selhání je snížena o 3%</t>
        </is>
      </c>
    </row>
    <row r="118">
      <c r="A118" s="8" t="n">
        <v>251</v>
      </c>
      <c r="B118" s="8" t="inlineStr">
        <is>
          <t>General</t>
        </is>
      </c>
      <c r="C118" s="8" t="inlineStr">
        <is>
          <t>Mořský vlk</t>
        </is>
      </c>
      <c r="D118" s="8" t="n">
        <v>15</v>
      </c>
      <c r="E118" s="8" t="inlineStr">
        <is>
          <t>SP</t>
        </is>
      </c>
      <c r="F118" s="9" t="inlineStr">
        <is>
          <t>Mořeplavba V</t>
        </is>
      </c>
      <c r="G118" s="9" t="inlineStr">
        <is>
          <t>Nachází-li se na moři či ve vodě, může si vybrat mezi původním a opakovaným hodem při Testech Síly, Obratnosti, Atletiky a Akrobacie.</t>
        </is>
      </c>
    </row>
    <row r="119">
      <c r="A119" s="8" t="n">
        <v>253</v>
      </c>
      <c r="B119" s="8" t="inlineStr">
        <is>
          <t>General</t>
        </is>
      </c>
      <c r="C119" s="8" t="inlineStr">
        <is>
          <t>Mysl nad tělem</t>
        </is>
      </c>
      <c r="D119" s="8" t="n">
        <v>20</v>
      </c>
      <c r="E119" s="8" t="inlineStr">
        <is>
          <t>SP</t>
        </is>
      </c>
      <c r="F119" s="9" t="inlineStr">
        <is>
          <t>Vůle 4</t>
        </is>
      </c>
      <c r="G119" s="9" t="inlineStr">
        <is>
          <t>Může vyčerpat 3 Mentální životy, aby se vyhnul získání stupně Únavy.</t>
        </is>
      </c>
    </row>
    <row r="120">
      <c r="A120" s="8" t="n">
        <v>255</v>
      </c>
      <c r="B120" s="8" t="inlineStr">
        <is>
          <t>General</t>
        </is>
      </c>
      <c r="C120" s="8" t="inlineStr">
        <is>
          <t>Očišťující bolest</t>
        </is>
      </c>
      <c r="D120" s="8" t="n">
        <v>20</v>
      </c>
      <c r="E120" s="8" t="inlineStr">
        <is>
          <t>SP</t>
        </is>
      </c>
      <c r="F120" s="9" t="inlineStr">
        <is>
          <t>Víra 3</t>
        </is>
      </c>
      <c r="G120" s="9" t="inlineStr">
        <is>
          <t>Pokud získá Vážné zranění, má šanci Víra*5% na zbavení se bodů šílenství. Při úspěchu se může takto zbavit dalšího bodu šílenství až za měsíc.</t>
        </is>
      </c>
    </row>
    <row r="121">
      <c r="A121" s="8" t="n">
        <v>257</v>
      </c>
      <c r="B121" s="8" t="inlineStr">
        <is>
          <t>General</t>
        </is>
      </c>
      <c r="C121" s="8" t="inlineStr">
        <is>
          <t>Piják</t>
        </is>
      </c>
      <c r="D121" s="8" t="n">
        <v>20</v>
      </c>
      <c r="E121" s="8" t="inlineStr">
        <is>
          <t>SP</t>
        </is>
      </c>
      <c r="F121" s="9" t="inlineStr">
        <is>
          <t>Pijáctví III</t>
        </is>
      </c>
      <c r="G121" s="9" t="inlineStr">
        <is>
          <t>Zvyšuje Hranici pro Rudý kříž a Bílou hvězdu o 1. Toxicita +5</t>
        </is>
      </c>
    </row>
    <row r="122">
      <c r="A122" s="8" t="n">
        <v>259</v>
      </c>
      <c r="B122" s="8" t="inlineStr">
        <is>
          <t>General</t>
        </is>
      </c>
      <c r="C122" s="8" t="inlineStr">
        <is>
          <t>Pohyb při zemi</t>
        </is>
      </c>
      <c r="D122" s="8" t="n">
        <v>15</v>
      </c>
      <c r="E122" s="8" t="inlineStr">
        <is>
          <t>SP</t>
        </is>
      </c>
      <c r="F122" s="9" t="inlineStr">
        <is>
          <t>Plížení V</t>
        </is>
      </c>
      <c r="G122" s="9" t="inlineStr">
        <is>
          <t>Pokud je Povalený, může použít akci Pomalý pohyb jako Volnou akci.</t>
        </is>
      </c>
    </row>
    <row r="123">
      <c r="A123" s="8" t="n">
        <v>261</v>
      </c>
      <c r="B123" s="8" t="inlineStr">
        <is>
          <t>General</t>
        </is>
      </c>
      <c r="C123" s="8" t="inlineStr">
        <is>
          <t>Replikace kouzel</t>
        </is>
      </c>
      <c r="D123" s="8" t="n">
        <v>25</v>
      </c>
      <c r="E123" s="8" t="inlineStr">
        <is>
          <t>SP</t>
        </is>
      </c>
      <c r="F123" s="9" t="inlineStr">
        <is>
          <t>Arcana VI; Výzkum VI</t>
        </is>
      </c>
      <c r="G123" s="9" t="inlineStr">
        <is>
          <t>V případě úspěšné magické obrany proti neznámému kouzlu může, jako Volnou akci, provést Test Arcany (Normální; Pokročilý; Těžký; Velmi těžký - podle stupně kouzla). Při úspěchu má podklad pro Výzkum tohoto kouzla (Viz Různé info - Výzkum).</t>
        </is>
      </c>
    </row>
    <row r="124">
      <c r="A124" s="8" t="n">
        <v>263</v>
      </c>
      <c r="B124" s="8" t="inlineStr">
        <is>
          <t>General</t>
        </is>
      </c>
      <c r="C124" s="8" t="inlineStr">
        <is>
          <t>Rozbor alchemie</t>
        </is>
      </c>
      <c r="D124" s="8" t="n">
        <v>25</v>
      </c>
      <c r="E124" s="8" t="inlineStr">
        <is>
          <t>SP</t>
        </is>
      </c>
      <c r="F124" s="9" t="inlineStr">
        <is>
          <t>Alchemie V; Výzkum V</t>
        </is>
      </c>
      <c r="G124" s="9" t="inlineStr">
        <is>
          <t>Má-li k dispozici alchemistický výrobek a vhodné vybavení, může se pokusit skrze výzkum zjistit složení a postup výroby. Výrobek je při výzkumu zničen. Obvykle zapotřebí 3 úspěchy, obtížnost obvykle Těžká.</t>
        </is>
      </c>
    </row>
    <row r="125">
      <c r="A125" s="8" t="n">
        <v>265</v>
      </c>
      <c r="B125" s="8" t="inlineStr">
        <is>
          <t>General</t>
        </is>
      </c>
      <c r="C125" s="8" t="inlineStr">
        <is>
          <t>Magický velitel</t>
        </is>
      </c>
      <c r="D125" s="8" t="n">
        <v>15</v>
      </c>
      <c r="E125" s="8" t="inlineStr">
        <is>
          <t>SP</t>
        </is>
      </c>
      <c r="F125" s="9" t="inlineStr">
        <is>
          <t>Velení V; Magický potenciál</t>
        </is>
      </c>
      <c r="G125" s="9" t="inlineStr">
        <is>
          <t>Pasivní velení zároveň přidává bonus +5% do Usměrňování</t>
        </is>
      </c>
    </row>
    <row r="126">
      <c r="A126" s="8" t="n">
        <v>267</v>
      </c>
      <c r="B126" s="8" t="inlineStr">
        <is>
          <t>General</t>
        </is>
      </c>
      <c r="C126" s="8" t="inlineStr">
        <is>
          <t>Spolubojovník</t>
        </is>
      </c>
      <c r="D126" s="8" t="n">
        <v>10</v>
      </c>
      <c r="E126" s="8" t="inlineStr">
        <is>
          <t>SP</t>
        </is>
      </c>
      <c r="F126" s="9" t="inlineStr">
        <is>
          <t>Velení: Adept</t>
        </is>
      </c>
      <c r="G126" s="9" t="inlineStr">
        <is>
          <t>Bonus +5% na Velení. Pasivní velení se vztahují i na velitele.</t>
        </is>
      </c>
    </row>
    <row r="127">
      <c r="A127" s="8" t="n">
        <v>269</v>
      </c>
      <c r="B127" s="8" t="inlineStr">
        <is>
          <t>General</t>
        </is>
      </c>
      <c r="C127" s="8" t="inlineStr">
        <is>
          <t>Bdělý velitel</t>
        </is>
      </c>
      <c r="D127" s="8" t="n">
        <v>25</v>
      </c>
      <c r="E127" s="8" t="inlineStr">
        <is>
          <t>SP</t>
        </is>
      </c>
      <c r="F127" s="9" t="inlineStr">
        <is>
          <t>Velení: Expert; Spolubojovník</t>
        </is>
      </c>
      <c r="G127" s="9" t="inlineStr">
        <is>
          <t>Aktivní velení lze používat jako Reakci. Pasivní velení lze změnit za Volnou akci.</t>
        </is>
      </c>
    </row>
    <row r="128">
      <c r="A128" s="8" t="n">
        <v>271</v>
      </c>
      <c r="B128" s="8" t="inlineStr">
        <is>
          <t>General</t>
        </is>
      </c>
      <c r="C128" s="8" t="inlineStr">
        <is>
          <t>Vůdce</t>
        </is>
      </c>
      <c r="D128" s="8" t="n">
        <v>35</v>
      </c>
      <c r="E128" s="8" t="inlineStr">
        <is>
          <t>SP</t>
        </is>
      </c>
      <c r="F128" s="9" t="inlineStr">
        <is>
          <t>Velení: Mistr; Bdělý velitel</t>
        </is>
      </c>
      <c r="G128" s="9" t="inlineStr">
        <is>
          <t>Pasivní velení nyní dává dodatečný efekt.</t>
        </is>
      </c>
    </row>
    <row r="129">
      <c r="A129" s="8" t="n">
        <v>273</v>
      </c>
      <c r="B129" s="8" t="inlineStr">
        <is>
          <t>General</t>
        </is>
      </c>
      <c r="C129" s="8" t="inlineStr">
        <is>
          <t>Dvojitý rozkaz</t>
        </is>
      </c>
      <c r="D129" s="8" t="n">
        <v>35</v>
      </c>
      <c r="E129" s="8" t="inlineStr">
        <is>
          <t>SP</t>
        </is>
      </c>
      <c r="F129" s="9" t="inlineStr">
        <is>
          <t>Velení: Mistr; Bdělý velitel</t>
        </is>
      </c>
      <c r="G129" s="9" t="inlineStr">
        <is>
          <t>Aktivní velení lze použít na dva cíle. Šance na kritický neúspěch -3%</t>
        </is>
      </c>
    </row>
    <row r="130">
      <c r="A130" s="8" t="n">
        <v>275</v>
      </c>
      <c r="B130" s="8" t="inlineStr">
        <is>
          <t>General</t>
        </is>
      </c>
      <c r="C130" s="8" t="inlineStr">
        <is>
          <t>Společník zvířat</t>
        </is>
      </c>
      <c r="D130" s="8" t="n">
        <v>20</v>
      </c>
      <c r="E130" s="8" t="inlineStr">
        <is>
          <t>SP</t>
        </is>
      </c>
      <c r="F130" s="9" t="inlineStr">
        <is>
          <t>Zacházení se zvířaty: Mistr</t>
        </is>
      </c>
      <c r="G130" s="9" t="inlineStr">
        <is>
          <t>Zvířata za normálních okolností nebudou napadat Společníka zvířat ani družinu v jeho blízkosti.</t>
        </is>
      </c>
    </row>
    <row r="131">
      <c r="A131" s="8" t="n">
        <v>277</v>
      </c>
      <c r="B131" s="8" t="inlineStr">
        <is>
          <t>General</t>
        </is>
      </c>
      <c r="C131" s="8" t="inlineStr">
        <is>
          <t>Stopař za Závojem</t>
        </is>
      </c>
      <c r="D131" s="8" t="n">
        <v>30</v>
      </c>
      <c r="E131" s="8" t="inlineStr">
        <is>
          <t>SP</t>
        </is>
      </c>
      <c r="F131" s="9" t="inlineStr">
        <is>
          <t>Vůle 4; Chodec ve snu VI; Učitel II</t>
        </is>
      </c>
      <c r="G131" s="9" t="inlineStr">
        <is>
          <t>Mentální souboj +2d8 při odolávání aspektovým démonům. Chodec ve snu +20% nachází-li se v Úniku. Zvýšený orientační smysl v Úniku. Průnik do Úniku skrze Chodce ve snu je o 2 Mentální životy levnější.</t>
        </is>
      </c>
    </row>
    <row r="132">
      <c r="A132" s="8" t="n">
        <v>279</v>
      </c>
      <c r="B132" s="8" t="inlineStr">
        <is>
          <t>General</t>
        </is>
      </c>
      <c r="C132" s="8" t="inlineStr">
        <is>
          <t>Šestý smysl</t>
        </is>
      </c>
      <c r="D132" s="8" t="n">
        <v>10</v>
      </c>
      <c r="E132" s="8" t="inlineStr">
        <is>
          <t>SP</t>
        </is>
      </c>
      <c r="F132" s="9" t="inlineStr">
        <is>
          <t>Vhled V</t>
        </is>
      </c>
      <c r="G132" s="9" t="inlineStr">
        <is>
          <t>Může 2x za den opakovat hod na Vhled. Snižuje šanci na Kritické selhání o 3%</t>
        </is>
      </c>
    </row>
    <row r="133">
      <c r="A133" s="8" t="n">
        <v>281</v>
      </c>
      <c r="B133" s="8" t="inlineStr">
        <is>
          <t>General</t>
        </is>
      </c>
      <c r="C133" s="8" t="inlineStr">
        <is>
          <t>Svalovec I</t>
        </is>
      </c>
      <c r="D133" s="8" t="n">
        <v>10</v>
      </c>
      <c r="E133" s="8" t="inlineStr">
        <is>
          <t>SP</t>
        </is>
      </c>
      <c r="F133" s="9" t="inlineStr">
        <is>
          <t>Svaly I</t>
        </is>
      </c>
      <c r="G133" s="9" t="inlineStr">
        <is>
          <t>Může 1x za den opakovat hod na Sílu.</t>
        </is>
      </c>
    </row>
    <row r="134">
      <c r="A134" s="8" t="n">
        <v>283</v>
      </c>
      <c r="B134" s="8" t="inlineStr">
        <is>
          <t>General</t>
        </is>
      </c>
      <c r="C134" s="8" t="inlineStr">
        <is>
          <t>Svalovec II</t>
        </is>
      </c>
      <c r="D134" s="8" t="n">
        <v>20</v>
      </c>
      <c r="E134" s="8" t="inlineStr">
        <is>
          <t>SP</t>
        </is>
      </c>
      <c r="F134" s="9" t="inlineStr">
        <is>
          <t>Svalovec I, Svaly III</t>
        </is>
      </c>
      <c r="G134" s="9" t="inlineStr">
        <is>
          <t>Může 2x za den opakovat hod na Sílu.</t>
        </is>
      </c>
    </row>
    <row r="135">
      <c r="A135" s="8" t="n">
        <v>287</v>
      </c>
      <c r="B135" s="8" t="inlineStr">
        <is>
          <t>General</t>
        </is>
      </c>
      <c r="C135" s="8" t="inlineStr">
        <is>
          <t>Učenlivý</t>
        </is>
      </c>
      <c r="D135" s="8" t="n">
        <v>5</v>
      </c>
      <c r="E135" s="8" t="inlineStr">
        <is>
          <t>SP</t>
        </is>
      </c>
      <c r="F135" s="9" t="inlineStr">
        <is>
          <t>Logika V; Inteligence 3</t>
        </is>
      </c>
      <c r="G135" s="9" t="inlineStr">
        <is>
          <t>Učení se dovednostem je o 1 den rychlejší, učení se jazyků, čtení a psaní je o 5 dní rychlejší.</t>
        </is>
      </c>
    </row>
    <row r="136">
      <c r="A136" s="8" t="n">
        <v>289</v>
      </c>
      <c r="B136" s="8" t="inlineStr">
        <is>
          <t>General</t>
        </is>
      </c>
      <c r="C136" s="8" t="inlineStr">
        <is>
          <t>Učenec I</t>
        </is>
      </c>
      <c r="D136" s="8" t="n">
        <v>0</v>
      </c>
      <c r="E136" s="8" t="inlineStr">
        <is>
          <t>SP</t>
        </is>
      </c>
      <c r="F136" s="9" t="inlineStr">
        <is>
          <t>Inteligence 4</t>
        </is>
      </c>
      <c r="G136" s="9" t="inlineStr">
        <is>
          <t>Vybírá si jednu nebojovou dovednost, na kterou má slevu 3 SP za stupeň</t>
        </is>
      </c>
    </row>
    <row r="137">
      <c r="A137" s="8" t="n">
        <v>291</v>
      </c>
      <c r="B137" s="8" t="inlineStr">
        <is>
          <t>General</t>
        </is>
      </c>
      <c r="C137" s="8" t="inlineStr">
        <is>
          <t>Učenec II</t>
        </is>
      </c>
      <c r="D137" s="8" t="n">
        <v>0</v>
      </c>
      <c r="E137" s="8" t="inlineStr">
        <is>
          <t>SP</t>
        </is>
      </c>
      <c r="F137" s="9" t="inlineStr">
        <is>
          <t>Učenec I; Inteligence 5 / Génius</t>
        </is>
      </c>
      <c r="G137" s="9" t="inlineStr">
        <is>
          <t>Vybírá si jednu nebojovou dovednost, na kterou má slevu 3 SP za stupeň</t>
        </is>
      </c>
    </row>
    <row r="138">
      <c r="A138" s="8" t="n">
        <v>293</v>
      </c>
      <c r="B138" s="8" t="inlineStr">
        <is>
          <t>General</t>
        </is>
      </c>
      <c r="C138" s="8" t="inlineStr">
        <is>
          <t>Učenec III</t>
        </is>
      </c>
      <c r="D138" s="8" t="n">
        <v>0</v>
      </c>
      <c r="E138" s="8" t="inlineStr">
        <is>
          <t>SP</t>
        </is>
      </c>
      <c r="F138" s="9" t="inlineStr">
        <is>
          <t>Učenec II; Inteligence 7</t>
        </is>
      </c>
      <c r="G138" s="9" t="inlineStr">
        <is>
          <t>Snižuje šanci na Kritický neúspěch o 2%</t>
        </is>
      </c>
    </row>
    <row r="139">
      <c r="A139" s="8" t="n">
        <v>295</v>
      </c>
      <c r="B139" s="8" t="inlineStr">
        <is>
          <t>General</t>
        </is>
      </c>
      <c r="C139" s="8" t="inlineStr">
        <is>
          <t>Umíněnost</t>
        </is>
      </c>
      <c r="D139" s="8" t="n">
        <v>15</v>
      </c>
      <c r="E139" s="8" t="inlineStr">
        <is>
          <t>SP</t>
        </is>
      </c>
      <c r="F139" s="9" t="inlineStr">
        <is>
          <t>Inteligence 3</t>
        </is>
      </c>
      <c r="G139" s="9" t="inlineStr">
        <is>
          <t>Snižuje požadavky na Primární vlastnost jedné zvolené dovednosti o jedna.</t>
        </is>
      </c>
    </row>
    <row r="140">
      <c r="A140" s="8" t="n">
        <v>297</v>
      </c>
      <c r="B140" s="8" t="inlineStr">
        <is>
          <t>General</t>
        </is>
      </c>
      <c r="C140" s="8" t="inlineStr">
        <is>
          <t>Zálesák</t>
        </is>
      </c>
      <c r="D140" s="8" t="n">
        <v>15</v>
      </c>
      <c r="E140" s="8" t="inlineStr">
        <is>
          <t>SP</t>
        </is>
      </c>
      <c r="F140" s="9" t="inlineStr">
        <is>
          <t>Přežití V</t>
        </is>
      </c>
      <c r="G140" s="9" t="inlineStr">
        <is>
          <t>Bonus +5% do Přežití, může 2x za den opakovat hod na Přežití a šance na Kritické selhání je snížena o 3%</t>
        </is>
      </c>
    </row>
    <row r="141">
      <c r="A141" s="8" t="n">
        <v>299</v>
      </c>
      <c r="B141" s="8" t="inlineStr">
        <is>
          <t>General</t>
        </is>
      </c>
      <c r="C141" s="8" t="inlineStr">
        <is>
          <t>Zkušený rváč</t>
        </is>
      </c>
      <c r="D141" s="8" t="n">
        <v>15</v>
      </c>
      <c r="E141" s="8" t="inlineStr">
        <is>
          <t>SP</t>
        </is>
      </c>
      <c r="F141" s="9" t="inlineStr">
        <is>
          <t>Rváč VI; Síla/Obratnost 5</t>
        </is>
      </c>
      <c r="G141" s="9" t="inlineStr">
        <is>
          <t>Zvyšuje způsobované zranění v souboji beze zbraně o 1.</t>
        </is>
      </c>
    </row>
    <row r="142">
      <c r="A142" s="8" t="n">
        <v>301</v>
      </c>
      <c r="B142" s="8" t="inlineStr">
        <is>
          <t>General</t>
        </is>
      </c>
      <c r="C142" s="8" t="inlineStr">
        <is>
          <t>Znalec alkoholu</t>
        </is>
      </c>
      <c r="D142" s="8" t="n">
        <v>25</v>
      </c>
      <c r="E142" s="8" t="inlineStr">
        <is>
          <t>SP</t>
        </is>
      </c>
      <c r="F142" s="9" t="inlineStr">
        <is>
          <t>Pijáctví V</t>
        </is>
      </c>
      <c r="G142" s="9" t="inlineStr">
        <is>
          <t>Vyzná se v alkoholu. Může 2x za den opakovat hod na Pijáctví. Toxicita +5</t>
        </is>
      </c>
    </row>
    <row r="143">
      <c r="A143" s="8" t="n">
        <v>303</v>
      </c>
      <c r="B143" s="8" t="inlineStr">
        <is>
          <t>General</t>
        </is>
      </c>
      <c r="C143" s="8" t="inlineStr">
        <is>
          <t>Znalec iluzí</t>
        </is>
      </c>
      <c r="D143" s="8" t="n">
        <v>10</v>
      </c>
      <c r="E143" s="8" t="inlineStr">
        <is>
          <t>SP</t>
        </is>
      </c>
      <c r="F143" s="9" t="inlineStr">
        <is>
          <t>Arcana V</t>
        </is>
      </c>
      <c r="G143" s="9" t="inlineStr">
        <is>
          <t>Bonus +20% na Popření iluze</t>
        </is>
      </c>
    </row>
    <row r="144">
      <c r="A144" s="8" t="n">
        <v>305</v>
      </c>
      <c r="B144" s="8" t="inlineStr">
        <is>
          <t>General</t>
        </is>
      </c>
      <c r="C144" s="8" t="inlineStr">
        <is>
          <t>Znalec zlodějů</t>
        </is>
      </c>
      <c r="D144" s="8" t="n">
        <v>5</v>
      </c>
      <c r="E144" s="8" t="inlineStr">
        <is>
          <t>SP</t>
        </is>
      </c>
      <c r="F144" s="9" t="inlineStr">
        <is>
          <t>Kapsářství V</t>
        </is>
      </c>
      <c r="G144" s="9" t="inlineStr">
        <is>
          <t>Je-li cílem Kapsářství, zvyšuje Obtížnost Kapsářství o 40% a získává bonus +30% na Test Vnímání na všimnutí si kapsáře.</t>
        </is>
      </c>
    </row>
    <row r="145">
      <c r="A145" s="8" t="n">
        <v>307</v>
      </c>
      <c r="B145" s="8" t="inlineStr">
        <is>
          <t>General</t>
        </is>
      </c>
      <c r="C145" s="8" t="inlineStr">
        <is>
          <t>Zocelený</t>
        </is>
      </c>
      <c r="D145" s="8" t="n">
        <v>40</v>
      </c>
      <c r="E145" s="8" t="inlineStr">
        <is>
          <t>SP</t>
        </is>
      </c>
      <c r="F145" s="9" t="inlineStr">
        <is>
          <t>Zvláštní příležitost / Traumatický zážitek</t>
        </is>
      </c>
      <c r="G145" s="9" t="inlineStr">
        <is>
          <t>Nervy +1, může 2x za den opakovat hod na Nervy týkající se Strachu nebo Teroru.</t>
        </is>
      </c>
    </row>
    <row r="146">
      <c r="A146" s="8" t="n">
        <v>314</v>
      </c>
      <c r="B146" s="8" t="inlineStr">
        <is>
          <t>Magic</t>
        </is>
      </c>
      <c r="C146" s="8" t="inlineStr">
        <is>
          <t>Adept Magie</t>
        </is>
      </c>
      <c r="D146" s="8" t="n">
        <v>10</v>
      </c>
      <c r="E146" s="8" t="inlineStr">
        <is>
          <t>CP</t>
        </is>
      </c>
      <c r="F146" s="9" t="inlineStr">
        <is>
          <t>Dvě expertní Školy*</t>
        </is>
      </c>
      <c r="G146" s="9" t="inlineStr">
        <is>
          <t>Usměrňování +5%, Základ many +3 a může 1x za den opakovat hod na Usměrňování.</t>
        </is>
      </c>
    </row>
    <row r="147">
      <c r="A147" s="8" t="n">
        <v>316</v>
      </c>
      <c r="B147" s="8" t="inlineStr">
        <is>
          <t>Magic</t>
        </is>
      </c>
      <c r="C147" s="8" t="inlineStr">
        <is>
          <t>Mistr Magie</t>
        </is>
      </c>
      <c r="D147" s="8" t="n">
        <v>20</v>
      </c>
      <c r="E147" s="8" t="inlineStr">
        <is>
          <t>CP</t>
        </is>
      </c>
      <c r="F147" s="9" t="inlineStr">
        <is>
          <t>Adept Magie; Dvě mistrovské Školy*</t>
        </is>
      </c>
      <c r="G147" s="9" t="inlineStr">
        <is>
          <t>Usměrňování +5%, Základ many +5, 1 Koncentraci a může 1x za den opakovat hod na Usměrňování. Bonus +10% na Test Vůle na Vyrušení čarování. Snížená šance na Kritický neúspěch Usměrňování o 1%</t>
        </is>
      </c>
    </row>
    <row r="148">
      <c r="A148" s="8" t="n">
        <v>318</v>
      </c>
      <c r="B148" s="8" t="inlineStr">
        <is>
          <t>Magic</t>
        </is>
      </c>
      <c r="C148" s="8" t="inlineStr">
        <is>
          <t>Velmistr Magie</t>
        </is>
      </c>
      <c r="D148" s="8" t="n">
        <v>25</v>
      </c>
      <c r="E148" s="8" t="inlineStr">
        <is>
          <t>CP</t>
        </is>
      </c>
      <c r="F148" s="9" t="inlineStr">
        <is>
          <t>Mistr Magie; Dvě velmistrovské Školy*</t>
        </is>
      </c>
      <c r="G148" s="9" t="inlineStr">
        <is>
          <t>Usměrňování +5%, Základ many +5, Obtížnost kouzel -20% a může 1x za den opakovat hod na Usměrňování. Opakování hodů na Usměrňování lze nyní využít i na vyhodnocení Kritického neúspěchu (1d20). Bonus +10% na Test Vůle na Vyrušení čarování. Snížená šance na Kritický neúspěch Usměrňování o 2%</t>
        </is>
      </c>
    </row>
    <row r="149">
      <c r="A149" s="8" t="n">
        <v>320</v>
      </c>
      <c r="B149" s="8" t="inlineStr">
        <is>
          <t>Magic</t>
        </is>
      </c>
      <c r="C149" s="8" t="inlineStr">
        <is>
          <t>Arcimág</t>
        </is>
      </c>
      <c r="D149" s="8" t="n">
        <v>40</v>
      </c>
      <c r="E149" s="8" t="inlineStr">
        <is>
          <t>CP</t>
        </is>
      </c>
      <c r="F149" s="9" t="inlineStr">
        <is>
          <t>Velmistr Magie; Škola X*</t>
        </is>
      </c>
      <c r="G149" s="9" t="inlineStr">
        <is>
          <t>Usměrňování +10%, Základ many +8, Obtížnost kouzel -20%, 1 Koncentraci, Šance na Kritický úspěch +5% pro Usměrňování a může 1x za den opakovat hod na Usměrňování (Včetně kritického neúspěchu). Bonus +10% na Test Vůle na Vyrušení čarování. Snížená šance na Kritický neúspěch Usměrňování o 2%</t>
        </is>
      </c>
    </row>
    <row r="150">
      <c r="A150" s="8" t="n">
        <v>322</v>
      </c>
      <c r="B150" s="8" t="inlineStr">
        <is>
          <t>Magic</t>
        </is>
      </c>
      <c r="C150" s="8" t="inlineStr">
        <is>
          <t>Doteková stabilizace</t>
        </is>
      </c>
      <c r="D150" s="8" t="n">
        <v>5</v>
      </c>
      <c r="E150" s="8" t="inlineStr">
        <is>
          <t>CP</t>
        </is>
      </c>
      <c r="F150" s="9" t="inlineStr">
        <is>
          <t>Usměrňování V</t>
        </is>
      </c>
      <c r="G150" s="9" t="inlineStr">
        <is>
          <t>Pokud nahradí dosah kouzla za Dotek, získává bonus +30% na Usměrňování a sníženou šanci na Kritický neúspěch o 3%</t>
        </is>
      </c>
    </row>
    <row r="151">
      <c r="A151" s="8" t="n">
        <v>324</v>
      </c>
      <c r="B151" s="8" t="inlineStr">
        <is>
          <t>Magic</t>
        </is>
      </c>
      <c r="C151" s="8" t="inlineStr">
        <is>
          <t>Hluboké soustředění</t>
        </is>
      </c>
      <c r="D151" s="8" t="n">
        <v>10</v>
      </c>
      <c r="E151" s="8" t="inlineStr">
        <is>
          <t>SP</t>
        </is>
      </c>
      <c r="F151" s="9" t="inlineStr">
        <is>
          <t>Doktrína III</t>
        </is>
      </c>
      <c r="G151" s="9" t="inlineStr">
        <is>
          <t>Pokud v magii kriticky uspěje alespoň druhým stupněm, může si kritický úspěch snížit o jeden stupeň a získat jedno Soustředění na příští kouzlo.</t>
        </is>
      </c>
    </row>
    <row r="152">
      <c r="A152" s="8" t="n">
        <v>326</v>
      </c>
      <c r="B152" s="8" t="inlineStr">
        <is>
          <t>Magic</t>
        </is>
      </c>
      <c r="C152" s="8" t="inlineStr">
        <is>
          <t>Kruh</t>
        </is>
      </c>
      <c r="D152" s="8" t="n">
        <v>5</v>
      </c>
      <c r="E152" s="8" t="inlineStr">
        <is>
          <t>CP</t>
        </is>
      </c>
      <c r="F152" s="9" t="inlineStr">
        <is>
          <t>Doktrína I; Učitel I</t>
        </is>
      </c>
      <c r="G152" s="9" t="inlineStr">
        <is>
          <t>Umožňuje naučit se kouzlo Kruh (Škola Ducha) a být součástí Kruhu.</t>
        </is>
      </c>
    </row>
    <row r="153">
      <c r="A153" s="8" t="n">
        <v>328</v>
      </c>
      <c r="B153" s="8" t="inlineStr">
        <is>
          <t>Magic</t>
        </is>
      </c>
      <c r="C153" s="8" t="inlineStr">
        <is>
          <t>Magická rezerva</t>
        </is>
      </c>
      <c r="D153" s="8" t="n">
        <v>5</v>
      </c>
      <c r="E153" s="8" t="inlineStr">
        <is>
          <t>CP</t>
        </is>
      </c>
      <c r="F153" s="9" t="inlineStr">
        <is>
          <t>Doktrína I</t>
        </is>
      </c>
      <c r="G153" s="9" t="inlineStr">
        <is>
          <t>Krátký odpočinek vždy zvýší Manu alespoň na 15.</t>
        </is>
      </c>
    </row>
    <row r="154">
      <c r="A154" s="8" t="n">
        <v>330</v>
      </c>
      <c r="B154" s="8" t="inlineStr">
        <is>
          <t>Magic</t>
        </is>
      </c>
      <c r="C154" s="8" t="inlineStr">
        <is>
          <t>Magické pasti I</t>
        </is>
      </c>
      <c r="D154" s="8" t="n">
        <v>5</v>
      </c>
      <c r="E154" s="8" t="inlineStr">
        <is>
          <t>CP</t>
        </is>
      </c>
      <c r="F154" s="9" t="inlineStr">
        <is>
          <t>Škola VI</t>
        </is>
      </c>
      <c r="G154" s="9" t="inlineStr">
        <is>
          <t>Umožňuje použít Reakci na spuštění efektu svých vybraných pastí. Za každou aktivovanou past zaplatí 1 manu. Rovněž může kdykoliv volnou akcí dočasně deaktivovat či znovu aktivovat libovolnou svou past.</t>
        </is>
      </c>
    </row>
    <row r="155">
      <c r="A155" s="8" t="n">
        <v>332</v>
      </c>
      <c r="B155" s="8" t="inlineStr">
        <is>
          <t>Magic</t>
        </is>
      </c>
      <c r="C155" s="8" t="inlineStr">
        <is>
          <t>Magické pasti II</t>
        </is>
      </c>
      <c r="D155" s="8" t="n">
        <v>5</v>
      </c>
      <c r="E155" s="8" t="inlineStr">
        <is>
          <t>CP</t>
        </is>
      </c>
      <c r="F155" s="9" t="inlineStr">
        <is>
          <t>Magické pasti I</t>
        </is>
      </c>
      <c r="G155" s="9" t="inlineStr">
        <is>
          <t>Prodlužuje trvání magických pastí na 2 hodiny. Síla kouzla +2 pro všechny magické pasti.</t>
        </is>
      </c>
    </row>
    <row r="156">
      <c r="A156" s="8" t="n">
        <v>334</v>
      </c>
      <c r="B156" s="8" t="inlineStr">
        <is>
          <t>Magic</t>
        </is>
      </c>
      <c r="C156" s="8" t="inlineStr">
        <is>
          <t>Magické pasti III</t>
        </is>
      </c>
      <c r="D156" s="8" t="n">
        <v>10</v>
      </c>
      <c r="E156" s="8" t="inlineStr">
        <is>
          <t>CP</t>
        </is>
      </c>
      <c r="F156" s="9" t="inlineStr">
        <is>
          <t>Magické pasti II</t>
        </is>
      </c>
      <c r="G156" s="9" t="inlineStr">
        <is>
          <t>Při sesílání magických pastí může seslat až o dvě pasti více, cena za každou dodatečnou past.</t>
        </is>
      </c>
    </row>
    <row r="157">
      <c r="A157" s="8" t="n">
        <v>336</v>
      </c>
      <c r="B157" s="8" t="inlineStr">
        <is>
          <t>Magic</t>
        </is>
      </c>
      <c r="C157" s="8" t="inlineStr">
        <is>
          <t>Obrana před Zázraky</t>
        </is>
      </c>
      <c r="D157" s="8" t="n">
        <v>5</v>
      </c>
      <c r="E157" s="8" t="inlineStr">
        <is>
          <t>CP</t>
        </is>
      </c>
      <c r="F157" s="9" t="inlineStr">
        <is>
          <t>Doktrína V; Učitel III</t>
        </is>
      </c>
      <c r="G157" s="9" t="inlineStr">
        <is>
          <t>Umožňuje používat Magickou obranu proti Zázrakům specializace Kněze. Obrana proti Novickým zázrakům stojí 1 manu, proti Akolytským 3 many a proti Klerickým 5 many.</t>
        </is>
      </c>
    </row>
    <row r="158">
      <c r="A158" s="8" t="n">
        <v>338</v>
      </c>
      <c r="B158" s="8" t="inlineStr">
        <is>
          <t>Magic</t>
        </is>
      </c>
      <c r="C158" s="8" t="inlineStr">
        <is>
          <t>Plošná obrana</t>
        </is>
      </c>
      <c r="D158" s="8" t="n">
        <v>10</v>
      </c>
      <c r="E158" s="8" t="inlineStr">
        <is>
          <t>CP</t>
        </is>
      </c>
      <c r="F158" s="9" t="inlineStr">
        <is>
          <t>Škola VI</t>
        </is>
      </c>
      <c r="G158" s="9" t="inlineStr">
        <is>
          <t>Rozšiřuje rozsah Magické obrany o 1,5m. V případě plošného kouzla se pro účely obrany čaroděje a sousedících cílů hází pouze jedna obrana.</t>
        </is>
      </c>
    </row>
    <row r="159">
      <c r="A159" s="8" t="n">
        <v>340</v>
      </c>
      <c r="B159" s="8" t="inlineStr">
        <is>
          <t>Magic</t>
        </is>
      </c>
      <c r="C159" s="8" t="inlineStr">
        <is>
          <t>Pohotové čarování</t>
        </is>
      </c>
      <c r="D159" s="8" t="n">
        <v>5</v>
      </c>
      <c r="E159" s="8" t="inlineStr">
        <is>
          <t>CP</t>
        </is>
      </c>
      <c r="F159" s="9" t="inlineStr">
        <is>
          <t>Doktrína IV; Učitel I</t>
        </is>
      </c>
      <c r="G159" s="9" t="inlineStr">
        <is>
          <t>Bonus +2 do Iniciativy při Testech Rychlosti na Reakční kouzla.</t>
        </is>
      </c>
    </row>
    <row r="160">
      <c r="A160" s="8" t="n">
        <v>342</v>
      </c>
      <c r="B160" s="8" t="inlineStr">
        <is>
          <t>Magic</t>
        </is>
      </c>
      <c r="C160" s="8" t="inlineStr">
        <is>
          <t>Rychlé kouzlo I</t>
        </is>
      </c>
      <c r="D160" s="8" t="n">
        <v>5</v>
      </c>
      <c r="E160" s="8" t="inlineStr">
        <is>
          <t>CP</t>
        </is>
      </c>
      <c r="F160" s="9" t="inlineStr">
        <is>
          <t>Adept Magie / Škola Krve - Expert</t>
        </is>
      </c>
      <c r="G160" s="9" t="inlineStr">
        <is>
          <t>Umožňuje v jednom kole, vychází-li na to akce, seslat dvě Podpůrná kouzla.</t>
        </is>
      </c>
    </row>
    <row r="161">
      <c r="A161" s="8" t="n">
        <v>344</v>
      </c>
      <c r="B161" s="8" t="inlineStr">
        <is>
          <t>Magic</t>
        </is>
      </c>
      <c r="C161" s="8" t="inlineStr">
        <is>
          <t>Rychlé kouzlo II</t>
        </is>
      </c>
      <c r="D161" s="8" t="n">
        <v>10</v>
      </c>
      <c r="E161" s="8" t="inlineStr">
        <is>
          <t>CP</t>
        </is>
      </c>
      <c r="F161" s="9" t="inlineStr">
        <is>
          <t>Rychlé kouzlo I; Mistr Magie / Škola Krve - Mistr</t>
        </is>
      </c>
      <c r="G161" s="9" t="inlineStr">
        <is>
          <t>Umožňuje v jednom kole, vychází-li na to akce, seslat dvě kouzla, za předpokladu, že jedno z nich bude Podpůrné. Druhé seslané kouzlo bude mít zvýšenou Obtížnost o -15%.</t>
        </is>
      </c>
    </row>
    <row r="162">
      <c r="A162" s="8" t="n">
        <v>346</v>
      </c>
      <c r="B162" s="8" t="inlineStr">
        <is>
          <t>Magic</t>
        </is>
      </c>
      <c r="C162" s="8" t="inlineStr">
        <is>
          <t>Rychlé kouzlo III</t>
        </is>
      </c>
      <c r="D162" s="8" t="n">
        <v>15</v>
      </c>
      <c r="E162" s="8" t="inlineStr">
        <is>
          <t>CP</t>
        </is>
      </c>
      <c r="F162" s="9" t="inlineStr">
        <is>
          <t>Rychlé kouzlo II; Velmistr Magie / Škola Krve - Velmistr</t>
        </is>
      </c>
      <c r="G162" s="9" t="inlineStr">
        <is>
          <t>Umožňuje v jednom kole, vychází-li na to akce, seslat dvě kouzla, za předpokladu, že alespoň jedno z nich bude Nižší. Druhé seslané kouzlo bude mít zvýšenou Obtížnost o -15%.</t>
        </is>
      </c>
    </row>
    <row r="163">
      <c r="A163" s="8" t="n">
        <v>348</v>
      </c>
      <c r="B163" s="8" t="inlineStr">
        <is>
          <t>Magic</t>
        </is>
      </c>
      <c r="C163" s="8" t="inlineStr">
        <is>
          <t>Rychlé kouzlo IV</t>
        </is>
      </c>
      <c r="D163" s="8" t="n">
        <v>15</v>
      </c>
      <c r="E163" s="8" t="inlineStr">
        <is>
          <t>CP</t>
        </is>
      </c>
      <c r="F163" s="9" t="inlineStr">
        <is>
          <t>Rychlé kouzlo III; Arcimág</t>
        </is>
      </c>
      <c r="G163" s="9" t="inlineStr">
        <is>
          <t>Umožňuje v jednom kole, vychází-li na to akce, seslat dvě Vyšší kouzla. Druhé seslané kouzlo bude mít zvýšenou Obtížnost o -25%.</t>
        </is>
      </c>
    </row>
    <row r="164">
      <c r="A164" s="8" t="n">
        <v>350</v>
      </c>
      <c r="B164" s="8" t="inlineStr">
        <is>
          <t>Magic</t>
        </is>
      </c>
      <c r="C164" s="8" t="inlineStr">
        <is>
          <t>Zrychlené čarování</t>
        </is>
      </c>
      <c r="D164" s="8" t="n">
        <v>5</v>
      </c>
      <c r="E164" s="8" t="inlineStr">
        <is>
          <t>CP</t>
        </is>
      </c>
      <c r="F164" s="9" t="inlineStr">
        <is>
          <t>Doktrína III</t>
        </is>
      </c>
      <c r="G164" s="9" t="inlineStr">
        <is>
          <t>Může před sesláním kouzla snížit Obtížnost kouzla o 15% výměnou za zvýšenou šanci na Kritický neúspěch o 5%</t>
        </is>
      </c>
    </row>
    <row r="165">
      <c r="A165" s="8" t="n">
        <v>353</v>
      </c>
      <c r="B165" s="8" t="inlineStr">
        <is>
          <t>Magic</t>
        </is>
      </c>
      <c r="C165" s="8" t="inlineStr">
        <is>
          <t>Temperament Ohně</t>
        </is>
      </c>
      <c r="D165" s="8" t="n">
        <v>0</v>
      </c>
      <c r="E165" s="8" t="inlineStr">
        <is>
          <t>CP</t>
        </is>
      </c>
      <c r="F165" s="9" t="inlineStr">
        <is>
          <t>Cholerik; Škola Ohně I</t>
        </is>
      </c>
      <c r="G165" s="9" t="inlineStr">
        <is>
          <t>Bonus +5% na Usměrňování kouzel Školy Ohně a Síla kouzla +1 do Školy Ohně.</t>
        </is>
      </c>
    </row>
    <row r="166">
      <c r="A166" s="8" t="n">
        <v>355</v>
      </c>
      <c r="B166" s="8" t="inlineStr">
        <is>
          <t>Magic</t>
        </is>
      </c>
      <c r="C166" s="8" t="inlineStr">
        <is>
          <t>Podpálení</t>
        </is>
      </c>
      <c r="D166" s="8" t="n">
        <v>15</v>
      </c>
      <c r="E166" s="8" t="inlineStr">
        <is>
          <t>CP</t>
        </is>
      </c>
      <c r="F166" s="9" t="inlineStr">
        <is>
          <t>Škola Ohně IV; Učitel I</t>
        </is>
      </c>
      <c r="G166" s="9" t="inlineStr">
        <is>
          <t>Všechna útočná kouzla Školy Ohně mají 5/10/15/20% (Podle stupně kouzla) šanci na způsobení Podpálení.</t>
        </is>
      </c>
    </row>
    <row r="167">
      <c r="A167" s="8" t="n">
        <v>357</v>
      </c>
      <c r="B167" s="8" t="inlineStr">
        <is>
          <t>Magic</t>
        </is>
      </c>
      <c r="C167" s="8" t="inlineStr">
        <is>
          <t>Základní kouzla Ohně</t>
        </is>
      </c>
      <c r="D167" s="8" t="n">
        <v>20</v>
      </c>
      <c r="E167" s="8" t="inlineStr">
        <is>
          <t>CP</t>
        </is>
      </c>
      <c r="F167" s="9" t="inlineStr">
        <is>
          <t>Škola Ohně VIII</t>
        </is>
      </c>
      <c r="G167" s="9" t="inlineStr">
        <is>
          <t>Všechna Učednická kouzla Školy Ohně jsou zdarma a nevyžadují Test Usměrňování.</t>
        </is>
      </c>
    </row>
    <row r="168">
      <c r="A168" s="8" t="n">
        <v>360</v>
      </c>
      <c r="B168" s="8" t="inlineStr">
        <is>
          <t>Magic</t>
        </is>
      </c>
      <c r="C168" s="8" t="inlineStr">
        <is>
          <t>Temperament Vody</t>
        </is>
      </c>
      <c r="D168" s="8" t="n">
        <v>0</v>
      </c>
      <c r="E168" s="8" t="inlineStr">
        <is>
          <t>CP</t>
        </is>
      </c>
      <c r="F168" s="9" t="inlineStr">
        <is>
          <t>Flegmatik; Škola Vody I</t>
        </is>
      </c>
      <c r="G168" s="9" t="inlineStr">
        <is>
          <t>Bonus +5% na Usměrňování kouzel Školy Vody a Síla kouzla +1 do Školy Vody.</t>
        </is>
      </c>
    </row>
    <row r="169">
      <c r="A169" s="8" t="n">
        <v>362</v>
      </c>
      <c r="B169" s="8" t="inlineStr">
        <is>
          <t>Magic</t>
        </is>
      </c>
      <c r="C169" s="8" t="inlineStr">
        <is>
          <t>Zpomalení</t>
        </is>
      </c>
      <c r="D169" s="8" t="n">
        <v>15</v>
      </c>
      <c r="E169" s="8" t="inlineStr">
        <is>
          <t>CP</t>
        </is>
      </c>
      <c r="F169" s="9" t="inlineStr">
        <is>
          <t>Škola Vody IV; Učitel I</t>
        </is>
      </c>
      <c r="G169" s="9" t="inlineStr">
        <is>
          <t>Útočná kouzla Školy Vody mají 10/15/20/30% (Podle stupně kouzla) šanci na způsobení Zpomalení na tři tahy.</t>
        </is>
      </c>
    </row>
    <row r="170">
      <c r="A170" s="8" t="n">
        <v>364</v>
      </c>
      <c r="B170" s="8" t="inlineStr">
        <is>
          <t>Magic</t>
        </is>
      </c>
      <c r="C170" s="8" t="inlineStr">
        <is>
          <t>Základní kouzla Vody</t>
        </is>
      </c>
      <c r="D170" s="8" t="n">
        <v>20</v>
      </c>
      <c r="E170" s="8" t="inlineStr">
        <is>
          <t>CP</t>
        </is>
      </c>
      <c r="F170" s="9" t="inlineStr">
        <is>
          <t>Škola Vody VIII</t>
        </is>
      </c>
      <c r="G170" s="9" t="inlineStr">
        <is>
          <t>Všechna Učednická kouzla Školy Vody jsou zdarma a nevyžadují Test Usměrňování.</t>
        </is>
      </c>
    </row>
    <row r="171">
      <c r="A171" s="8" t="n">
        <v>367</v>
      </c>
      <c r="B171" s="8" t="inlineStr">
        <is>
          <t>Magic</t>
        </is>
      </c>
      <c r="C171" s="8" t="inlineStr">
        <is>
          <t>Temperament Země</t>
        </is>
      </c>
      <c r="D171" s="8" t="n">
        <v>0</v>
      </c>
      <c r="E171" s="8" t="inlineStr">
        <is>
          <t>CP</t>
        </is>
      </c>
      <c r="F171" s="9" t="inlineStr">
        <is>
          <t>Melancholik; Škola Země I</t>
        </is>
      </c>
      <c r="G171" s="9" t="inlineStr">
        <is>
          <t>Bonus +5% na Usměrňování kouzel Školy Země a Síla kouzla +1 do Školy Země.</t>
        </is>
      </c>
    </row>
    <row r="172">
      <c r="A172" s="8" t="n">
        <v>369</v>
      </c>
      <c r="B172" s="8" t="inlineStr">
        <is>
          <t>Magic</t>
        </is>
      </c>
      <c r="C172" s="8" t="inlineStr">
        <is>
          <t>Srdcové zvíře</t>
        </is>
      </c>
      <c r="D172" s="8" t="n">
        <v>15</v>
      </c>
      <c r="E172" s="8" t="inlineStr">
        <is>
          <t>CP</t>
        </is>
      </c>
      <c r="F172" s="9" t="inlineStr">
        <is>
          <t>Škola Země VIII; Učitel II</t>
        </is>
      </c>
      <c r="G172" s="9" t="inlineStr">
        <is>
          <t>Vybere si jednu proměnu, která nestojí žádnou manu a nevyžaduje Test Usměrňování.</t>
        </is>
      </c>
    </row>
    <row r="173">
      <c r="A173" s="8" t="n">
        <v>371</v>
      </c>
      <c r="B173" s="8" t="inlineStr">
        <is>
          <t>Magic</t>
        </is>
      </c>
      <c r="C173" s="8" t="inlineStr">
        <is>
          <t>Základní kouzla Země</t>
        </is>
      </c>
      <c r="D173" s="8" t="n">
        <v>20</v>
      </c>
      <c r="E173" s="8" t="inlineStr">
        <is>
          <t>CP</t>
        </is>
      </c>
      <c r="F173" s="9" t="inlineStr">
        <is>
          <t>Škola Země VIII</t>
        </is>
      </c>
      <c r="G173" s="9" t="inlineStr">
        <is>
          <t>Všechna Učednická kouzla Školy Země jsou zdarma a nevyžadují Test Usměrňování.</t>
        </is>
      </c>
    </row>
    <row r="174">
      <c r="A174" s="8" t="n">
        <v>373</v>
      </c>
      <c r="B174" s="8" t="inlineStr">
        <is>
          <t>Magic</t>
        </is>
      </c>
      <c r="C174" s="8" t="inlineStr">
        <is>
          <t>Kouzelné zvíře</t>
        </is>
      </c>
      <c r="D174" s="8" t="n">
        <v>25</v>
      </c>
      <c r="E174" s="8" t="inlineStr">
        <is>
          <t>CP</t>
        </is>
      </c>
      <c r="F174" s="9" t="inlineStr">
        <is>
          <t>Škola Země X; Učitel III</t>
        </is>
      </c>
      <c r="G174" s="9" t="inlineStr">
        <is>
          <t>Umožňuje mluvit a sesílat kouzla ve zvířecí podobě. Ve zvířecí podobě ignoruje postihy za Formu, ale má snížené Usměrňování o 20%. Ve zvířecí podobě umožňuje útočit i sesílat kouzla ve stejném tahu.</t>
        </is>
      </c>
    </row>
    <row r="175">
      <c r="A175" s="8" t="n">
        <v>376</v>
      </c>
      <c r="B175" s="8" t="inlineStr">
        <is>
          <t>Magic</t>
        </is>
      </c>
      <c r="C175" s="8" t="inlineStr">
        <is>
          <t>Temperament Vzduchu</t>
        </is>
      </c>
      <c r="D175" s="8" t="n">
        <v>0</v>
      </c>
      <c r="E175" s="8" t="inlineStr">
        <is>
          <t>CP</t>
        </is>
      </c>
      <c r="F175" s="9" t="inlineStr">
        <is>
          <t>Sangvinik; Škola Vzduchu I</t>
        </is>
      </c>
      <c r="G175" s="9" t="inlineStr">
        <is>
          <t>Bonus +5% na Usměrňování kouzel Školy Vzduchu a Síla kouzla +1 do Školy Vzduchu.</t>
        </is>
      </c>
    </row>
    <row r="176">
      <c r="A176" s="8" t="n">
        <v>378</v>
      </c>
      <c r="B176" s="8" t="inlineStr">
        <is>
          <t>Magic</t>
        </is>
      </c>
      <c r="C176" s="8" t="inlineStr">
        <is>
          <t>Omračující blesky</t>
        </is>
      </c>
      <c r="D176" s="8" t="n">
        <v>15</v>
      </c>
      <c r="E176" s="8" t="inlineStr">
        <is>
          <t>CP</t>
        </is>
      </c>
      <c r="F176" s="9" t="inlineStr">
        <is>
          <t>Škola Vzduchu IV; Učitel I</t>
        </is>
      </c>
      <c r="G176" s="9" t="inlineStr">
        <is>
          <t>Útočná kouzla Školy Vzduchu mají +10/15/20/25% (Podle stupně kouzla) šanci na způsobení Omráčení na dva tahy.</t>
        </is>
      </c>
    </row>
    <row r="177">
      <c r="A177" s="8" t="n">
        <v>380</v>
      </c>
      <c r="B177" s="8" t="inlineStr">
        <is>
          <t>Magic</t>
        </is>
      </c>
      <c r="C177" s="8" t="inlineStr">
        <is>
          <t>Základní kouzla Vzduchu</t>
        </is>
      </c>
      <c r="D177" s="8" t="n">
        <v>20</v>
      </c>
      <c r="E177" s="8" t="inlineStr">
        <is>
          <t>CP</t>
        </is>
      </c>
      <c r="F177" s="9" t="inlineStr">
        <is>
          <t>Škola Vzduchu VIII</t>
        </is>
      </c>
      <c r="G177" s="9" t="inlineStr">
        <is>
          <t>Všechna Učednická kouzla Školy Vzduchu jsou zdarma a nevyžadují Test Usměrňování.</t>
        </is>
      </c>
    </row>
    <row r="178">
      <c r="A178" s="8" t="n">
        <v>383</v>
      </c>
      <c r="B178" s="8" t="inlineStr">
        <is>
          <t>Magic</t>
        </is>
      </c>
      <c r="C178" s="8" t="inlineStr">
        <is>
          <t>Základní kouzla Ducha</t>
        </is>
      </c>
      <c r="D178" s="8" t="n">
        <v>20</v>
      </c>
      <c r="E178" s="8" t="inlineStr">
        <is>
          <t>CP</t>
        </is>
      </c>
      <c r="F178" s="9" t="inlineStr">
        <is>
          <t>Škola Ducha VIII</t>
        </is>
      </c>
      <c r="G178" s="9" t="inlineStr">
        <is>
          <t>Všechna Učednická kouzla Školy Ducha jsou zdarma a nevyžadují Test Usměrňování.</t>
        </is>
      </c>
    </row>
    <row r="179">
      <c r="A179" s="8" t="n">
        <v>385</v>
      </c>
      <c r="B179" s="8" t="inlineStr">
        <is>
          <t>Magic</t>
        </is>
      </c>
      <c r="C179" s="8" t="inlineStr">
        <is>
          <t>Bezpečná teleportace</t>
        </is>
      </c>
      <c r="D179" s="8" t="n">
        <v>10</v>
      </c>
      <c r="E179" s="8" t="inlineStr">
        <is>
          <t>CP</t>
        </is>
      </c>
      <c r="F179" s="9" t="inlineStr">
        <is>
          <t>Škola Ducha VIII; Učitel III</t>
        </is>
      </c>
      <c r="G179" s="9" t="inlineStr">
        <is>
          <t>Pokud by kouzlo Teleportace mělo vyústit ve smrt, automaticky selže, sesilatel utrží 5d8 zranění a objeví se zpátky na stejném místě. Toto zranění nemůže zabít, jen vyřadit.</t>
        </is>
      </c>
    </row>
    <row r="180">
      <c r="A180" s="8" t="n">
        <v>388</v>
      </c>
      <c r="B180" s="8" t="inlineStr">
        <is>
          <t>Magic</t>
        </is>
      </c>
      <c r="C180" s="8" t="inlineStr">
        <is>
          <t>Čisté tělo</t>
        </is>
      </c>
      <c r="D180" s="8" t="n">
        <v>5</v>
      </c>
      <c r="E180" s="8" t="inlineStr">
        <is>
          <t>CP</t>
        </is>
      </c>
      <c r="F180" s="9" t="inlineStr">
        <is>
          <t>Škola Těla IV; Učitel I</t>
        </is>
      </c>
      <c r="G180" s="9" t="inlineStr">
        <is>
          <t>Spaluje 5+SK korupce za každý Dlouhý odpočinek. Získává bonus +5% proti nemocem a jedům. Jedovaté Kz +2</t>
        </is>
      </c>
    </row>
    <row r="181">
      <c r="A181" s="8" t="n">
        <v>390</v>
      </c>
      <c r="B181" s="8" t="inlineStr">
        <is>
          <t>Magic</t>
        </is>
      </c>
      <c r="C181" s="8" t="inlineStr">
        <is>
          <t>Tělesná kalibrace</t>
        </is>
      </c>
      <c r="D181" s="8" t="n">
        <v>0</v>
      </c>
      <c r="E181" s="8" t="inlineStr">
        <is>
          <t>CP</t>
        </is>
      </c>
      <c r="F181" s="9" t="inlineStr">
        <is>
          <t>Škola Těla IV</t>
        </is>
      </c>
      <c r="G181" s="9" t="inlineStr">
        <is>
          <t>Umožňuje ihned zkalibrovat část těla jako ohniskový předmět.</t>
        </is>
      </c>
    </row>
    <row r="182">
      <c r="A182" s="8" t="n">
        <v>392</v>
      </c>
      <c r="B182" s="8" t="inlineStr">
        <is>
          <t>Magic</t>
        </is>
      </c>
      <c r="C182" s="8" t="inlineStr">
        <is>
          <t>Základní kouzla Těla</t>
        </is>
      </c>
      <c r="D182" s="8" t="n">
        <v>15</v>
      </c>
      <c r="E182" s="8" t="inlineStr">
        <is>
          <t>CP</t>
        </is>
      </c>
      <c r="F182" s="9" t="inlineStr">
        <is>
          <t>Škola Těla VIII</t>
        </is>
      </c>
      <c r="G182" s="9" t="inlineStr">
        <is>
          <t>Všechna Učednická kouzla Školy Těla jsou o 50% levnější a nevyžadují Test Usměrňování.</t>
        </is>
      </c>
    </row>
    <row r="183">
      <c r="A183" s="8" t="n">
        <v>395</v>
      </c>
      <c r="B183" s="8" t="inlineStr">
        <is>
          <t>Magic</t>
        </is>
      </c>
      <c r="C183" s="8" t="inlineStr">
        <is>
          <t>Lapač duší</t>
        </is>
      </c>
      <c r="D183" s="8" t="n">
        <v>10</v>
      </c>
      <c r="E183" s="8" t="inlineStr">
        <is>
          <t>CP</t>
        </is>
      </c>
      <c r="F183" s="9" t="inlineStr">
        <is>
          <t>Škola Temnoty IV; Učitel I</t>
        </is>
      </c>
      <c r="G183" s="9" t="inlineStr">
        <is>
          <t>Všechna temná kouzla mají +25% šanci na aplikování kouzla Označení duše. Šance na lapení duše je o 25% větší.</t>
        </is>
      </c>
    </row>
    <row r="184">
      <c r="A184" s="8" t="n">
        <v>397</v>
      </c>
      <c r="B184" s="8" t="inlineStr">
        <is>
          <t>Magic</t>
        </is>
      </c>
      <c r="C184" s="8" t="inlineStr">
        <is>
          <t>Nekromancerův pakt</t>
        </is>
      </c>
      <c r="D184" s="8" t="n">
        <v>10</v>
      </c>
      <c r="E184" s="8" t="inlineStr">
        <is>
          <t>CP</t>
        </is>
      </c>
      <c r="F184" s="9" t="inlineStr">
        <is>
          <t>Škola Temnoty VII; Učitel II</t>
        </is>
      </c>
      <c r="G184" s="9" t="inlineStr">
        <is>
          <t>Pokud zabije vhodný cíl kouzlem Školy Temnoty, může na něj ihned jako Volnou akci seslat kouzlo Posmrtná křeč nebo Mrtvolný výbuch.</t>
        </is>
      </c>
    </row>
    <row r="185">
      <c r="A185" s="8" t="n">
        <v>399</v>
      </c>
      <c r="B185" s="8" t="inlineStr">
        <is>
          <t>Magic</t>
        </is>
      </c>
      <c r="C185" s="8" t="inlineStr">
        <is>
          <t>Základní kouzla Temnoty</t>
        </is>
      </c>
      <c r="D185" s="8" t="n">
        <v>15</v>
      </c>
      <c r="E185" s="8" t="inlineStr">
        <is>
          <t>CP</t>
        </is>
      </c>
      <c r="F185" s="9" t="inlineStr">
        <is>
          <t>Škola Temnoty VIII</t>
        </is>
      </c>
      <c r="G185" s="9" t="inlineStr">
        <is>
          <t>Všechna Učednická kouzla Školy Temnoty jsou zdarma a nevyžadují Test Usměrňování.</t>
        </is>
      </c>
    </row>
    <row r="186">
      <c r="A186" s="8" t="n">
        <v>406</v>
      </c>
      <c r="B186" s="8" t="inlineStr">
        <is>
          <t>Trait</t>
        </is>
      </c>
      <c r="C186" s="8" t="inlineStr">
        <is>
          <t>Hbité nohy</t>
        </is>
      </c>
      <c r="D186" s="8" t="n">
        <v>15</v>
      </c>
      <c r="E186" s="8" t="inlineStr">
        <is>
          <t>CP</t>
        </is>
      </c>
      <c r="F186" s="9" t="inlineStr">
        <is>
          <t>Mrštný</t>
        </is>
      </c>
      <c r="G186" s="9" t="inlineStr">
        <is>
          <t>Získává bonus do Rychlosti +1. Nemůže však překročit Absolutní hranici.</t>
        </is>
      </c>
    </row>
    <row r="187">
      <c r="A187" s="8" t="n">
        <v>408</v>
      </c>
      <c r="B187" s="8" t="inlineStr">
        <is>
          <t>Trait</t>
        </is>
      </c>
      <c r="C187" s="8" t="inlineStr">
        <is>
          <t>Nacpaný pupek</t>
        </is>
      </c>
      <c r="D187" s="8" t="n">
        <v>10</v>
      </c>
      <c r="E187" s="8" t="inlineStr">
        <is>
          <t>SP</t>
        </is>
      </c>
      <c r="F187" s="9" t="inlineStr">
        <is>
          <t>Obžera / Hřích Obžérství</t>
        </is>
      </c>
      <c r="G187" s="9" t="inlineStr">
        <is>
          <t>Může Testovat Odolnost (Velmi těžký) na přejezení. Při úspěchu ztratí jeden bod šílenství, při neúspěchu naopak bod získá. Takto se lze bodu zbavit jednou za patnáct dnů.</t>
        </is>
      </c>
    </row>
    <row r="188">
      <c r="A188" s="8" t="n">
        <v>410</v>
      </c>
      <c r="B188" s="8" t="inlineStr">
        <is>
          <t>Trait</t>
        </is>
      </c>
      <c r="C188" s="8" t="inlineStr">
        <is>
          <t>Neúnavné štěstí</t>
        </is>
      </c>
      <c r="D188" s="8" t="n">
        <v>30</v>
      </c>
      <c r="E188" s="8" t="inlineStr">
        <is>
          <t>SP</t>
        </is>
      </c>
      <c r="F188" s="9" t="inlineStr">
        <is>
          <t>Šťastlivec</t>
        </is>
      </c>
      <c r="G188" s="9" t="inlineStr">
        <is>
          <t>V případě využití Šťastlivce na přehození kritického neúspěchu přichází o možnost opakovat hod pouze na 5 dní.</t>
        </is>
      </c>
    </row>
    <row r="189">
      <c r="A189" s="8" t="n">
        <v>412</v>
      </c>
      <c r="B189" s="8" t="inlineStr">
        <is>
          <t>Trait</t>
        </is>
      </c>
      <c r="C189" s="8" t="inlineStr">
        <is>
          <t>Nebojácný</t>
        </is>
      </c>
      <c r="D189" s="8" t="n">
        <v>20</v>
      </c>
      <c r="E189" s="8" t="inlineStr">
        <is>
          <t>SP</t>
        </is>
      </c>
      <c r="F189" s="9" t="inlineStr">
        <is>
          <t>Bojácný; Zvláštní příležitost</t>
        </is>
      </c>
      <c r="G189" s="9" t="inlineStr">
        <is>
          <t>Snižuje postih na Testy Nervů na Strach a Teror o 5%</t>
        </is>
      </c>
    </row>
    <row r="190">
      <c r="A190" s="8" t="n">
        <v>414</v>
      </c>
      <c r="B190" s="8" t="inlineStr">
        <is>
          <t>Trait</t>
        </is>
      </c>
      <c r="C190" s="8" t="inlineStr">
        <is>
          <t>Pohotový</t>
        </is>
      </c>
      <c r="D190" s="8" t="n">
        <v>20</v>
      </c>
      <c r="E190" s="8" t="inlineStr">
        <is>
          <t>SP</t>
        </is>
      </c>
      <c r="F190" s="9" t="inlineStr">
        <is>
          <t>Orlí smysly</t>
        </is>
      </c>
      <c r="G190" s="9" t="inlineStr">
        <is>
          <t>Může 1x za den opakovat hod na Rychlost či Pořadí tahu.</t>
        </is>
      </c>
    </row>
    <row r="191">
      <c r="A191" s="8" t="n">
        <v>416</v>
      </c>
      <c r="B191" s="8" t="inlineStr">
        <is>
          <t>Trait</t>
        </is>
      </c>
      <c r="C191" s="8" t="inlineStr">
        <is>
          <t>Řečník</t>
        </is>
      </c>
      <c r="D191" s="8" t="n">
        <v>10</v>
      </c>
      <c r="E191" s="8" t="inlineStr">
        <is>
          <t>SP</t>
        </is>
      </c>
      <c r="F191" s="9" t="inlineStr">
        <is>
          <t>Stříbrný jazyk</t>
        </is>
      </c>
      <c r="G191" s="9" t="inlineStr">
        <is>
          <t>Opakovaný hod na Přesvědčování, Klamání, Pokoušení nebo Zastrašování nebude spotřebován, pokud vyústí v Kritický úspěch.</t>
        </is>
      </c>
    </row>
    <row r="192">
      <c r="A192" s="8" t="n">
        <v>418</v>
      </c>
      <c r="B192" s="8" t="inlineStr">
        <is>
          <t>Trait</t>
        </is>
      </c>
      <c r="C192" s="8" t="inlineStr">
        <is>
          <t>Smělý</t>
        </is>
      </c>
      <c r="D192" s="8" t="n">
        <v>20</v>
      </c>
      <c r="E192" s="8" t="inlineStr">
        <is>
          <t>SP</t>
        </is>
      </c>
      <c r="F192" s="9" t="inlineStr">
        <is>
          <t>Nesmělý</t>
        </is>
      </c>
      <c r="G192" s="9" t="inlineStr">
        <is>
          <t>Snižuje postih na Velení, Pokoušení, Klamání, Přesvědčování a Herectví o 5%</t>
        </is>
      </c>
    </row>
    <row r="193">
      <c r="A193" s="8" t="n">
        <v>420</v>
      </c>
      <c r="B193" s="8" t="inlineStr">
        <is>
          <t>Trait</t>
        </is>
      </c>
      <c r="C193" s="8" t="inlineStr">
        <is>
          <t>Ďáblík strážný</t>
        </is>
      </c>
      <c r="D193" s="8" t="n">
        <v>20</v>
      </c>
      <c r="E193" s="8" t="inlineStr">
        <is>
          <t>SP</t>
        </is>
      </c>
      <c r="F193" s="9" t="inlineStr">
        <is>
          <t>Ďábel strážný</t>
        </is>
      </c>
      <c r="G193" s="9" t="inlineStr">
        <is>
          <t>Na nucenou tajnou věštbu se hází pouze jednou.</t>
        </is>
      </c>
    </row>
    <row r="194">
      <c r="A194" s="8" t="n">
        <v>422</v>
      </c>
      <c r="B194" s="8" t="inlineStr">
        <is>
          <t>Trait</t>
        </is>
      </c>
      <c r="C194" s="8" t="inlineStr">
        <is>
          <t>Hluboká nenávist</t>
        </is>
      </c>
      <c r="D194" s="8" t="n">
        <v>20</v>
      </c>
      <c r="E194" s="8" t="inlineStr">
        <is>
          <t>SP</t>
        </is>
      </c>
      <c r="F194" s="9" t="inlineStr">
        <is>
          <t>Nemesis; Nesmí být Sobecký altruista</t>
        </is>
      </c>
      <c r="G194" s="9" t="inlineStr">
        <is>
          <t>Jednou za den, pokud své nemesis dostatečně uškodí, má šanci 10% + bonus (Dle uvážení DM) na zbavení se bodu šílenství.</t>
        </is>
      </c>
    </row>
    <row r="195">
      <c r="A195" s="8" t="n">
        <v>424</v>
      </c>
      <c r="B195" s="8" t="inlineStr">
        <is>
          <t>Trait</t>
        </is>
      </c>
      <c r="C195" s="8" t="inlineStr">
        <is>
          <t>Sobecký altruista</t>
        </is>
      </c>
      <c r="D195" s="8" t="n">
        <v>20</v>
      </c>
      <c r="E195" s="8" t="inlineStr">
        <is>
          <t>SP</t>
        </is>
      </c>
      <c r="F195" s="9" t="inlineStr">
        <is>
          <t>Ctnostný; Nesmí mít Hlubokou nenávist</t>
        </is>
      </c>
      <c r="G195" s="9" t="inlineStr">
        <is>
          <t>Jednou za den, pokud udělá dostatečně dobrý skutek, má šanci 10% + bonus (Dle uvážení DM) na zbavení se bodu šílenství.</t>
        </is>
      </c>
    </row>
    <row r="196">
      <c r="A196" s="8" t="n">
        <v>426</v>
      </c>
      <c r="B196" s="8" t="inlineStr">
        <is>
          <t>Trait</t>
        </is>
      </c>
      <c r="C196" s="8" t="inlineStr">
        <is>
          <t>Snílek</t>
        </is>
      </c>
      <c r="D196" s="8" t="n">
        <v>15</v>
      </c>
      <c r="E196" s="8" t="inlineStr">
        <is>
          <t>SP</t>
        </is>
      </c>
      <c r="F196" s="9" t="inlineStr">
        <is>
          <t>Starší krev</t>
        </is>
      </c>
      <c r="G196" s="9" t="inlineStr">
        <is>
          <t>Spánková hibernace může trvat staletí. Může se okamžitě pokusit usnout skrze Test Meditace, na který má Výhodu. Chodec ve snu +10%, může 2x za den opakovat hod na Chodce ve snu.</t>
        </is>
      </c>
    </row>
    <row r="197">
      <c r="A197" s="8" t="n">
        <v>428</v>
      </c>
      <c r="B197" s="8" t="inlineStr">
        <is>
          <t>Trait</t>
        </is>
      </c>
      <c r="C197" s="8" t="inlineStr">
        <is>
          <t>Blahodárné snění</t>
        </is>
      </c>
      <c r="D197" s="8" t="n">
        <v>10</v>
      </c>
      <c r="E197" s="8" t="inlineStr">
        <is>
          <t>SP</t>
        </is>
      </c>
      <c r="F197" s="9" t="inlineStr">
        <is>
          <t>Snílek; Chodec ve snu V</t>
        </is>
      </c>
      <c r="G197" s="9" t="inlineStr">
        <is>
          <t>Požadavky na Dlouhý odpočinek zkráceny na polovinu. Během Táboření má o jednu JČ více. Dlouhý odpočinek zrychluje regeneraci vyčerpaných Mentálních životů o 1.</t>
        </is>
      </c>
    </row>
    <row r="198">
      <c r="A198" s="8" t="n">
        <v>430</v>
      </c>
      <c r="B198" s="8" t="inlineStr">
        <is>
          <t>Trait</t>
        </is>
      </c>
      <c r="C198" s="8" t="inlineStr">
        <is>
          <t>Náměsíčnost</t>
        </is>
      </c>
      <c r="D198" s="8" t="n">
        <v>20</v>
      </c>
      <c r="E198" s="8" t="inlineStr">
        <is>
          <t>SP</t>
        </is>
      </c>
      <c r="F198" s="9" t="inlineStr">
        <is>
          <t>Snílek; Chodec ve snu VIII; Učitel III</t>
        </is>
      </c>
      <c r="G198" s="9" t="inlineStr">
        <is>
          <t>Dostane-li se do snu, může skrze úspěšný Test Chodce ve snu (-40%) vyvolat u cíle Test Vůle (Normální, Pokročilý nebo Těžký podle síly úspěchu), při selhání vyvolá náměsičnost s jednoduchými rozkazy. Tato akce stojí 2 Mentální životy.</t>
        </is>
      </c>
    </row>
    <row r="199">
      <c r="A199" s="8" t="n">
        <v>432</v>
      </c>
      <c r="B199" s="8" t="inlineStr">
        <is>
          <t>Trait</t>
        </is>
      </c>
      <c r="C199" s="8" t="inlineStr">
        <is>
          <t>Zloděj snů</t>
        </is>
      </c>
      <c r="D199" s="8" t="n">
        <v>30</v>
      </c>
      <c r="E199" s="8" t="inlineStr">
        <is>
          <t>SP</t>
        </is>
      </c>
      <c r="F199" s="9" t="inlineStr">
        <is>
          <t>Náměsíčnost;
Chodec ve snu X; Učitel III</t>
        </is>
      </c>
      <c r="G199" s="9" t="inlineStr">
        <is>
          <t>Dostane-li se do snu, může vyvolat Mentální souboj. Vyhraje-li, je schopen cíl "posednout" a po dobu až 8 hodin ho ovládat. Po probuzení se cíl cítí odpočatě a na nic si nevzpomíná. Pokud by Snílek prohrál Mentální souboj, je jeden Mentální život zničen a Snílek je uvězněn ve snu. Tato akce stojí 3 Mentální životy.</t>
        </is>
      </c>
    </row>
    <row r="200">
      <c r="A200" s="8" t="n">
        <v>434</v>
      </c>
      <c r="B200" s="8" t="inlineStr">
        <is>
          <t>Trait</t>
        </is>
      </c>
      <c r="C200" s="8" t="inlineStr">
        <is>
          <t>Jasnozřivost</t>
        </is>
      </c>
      <c r="D200" s="8" t="n">
        <v>20</v>
      </c>
      <c r="E200" s="8" t="inlineStr">
        <is>
          <t>SP</t>
        </is>
      </c>
      <c r="F200" s="9" t="inlineStr">
        <is>
          <t>Nadání: Věštec; Věštění I</t>
        </is>
      </c>
      <c r="G200" s="9" t="inlineStr">
        <is>
          <t>Může použít dovednost Věštění, aby věštil sám sobě.</t>
        </is>
      </c>
    </row>
    <row r="201">
      <c r="A201" s="8" t="n">
        <v>436</v>
      </c>
      <c r="B201" s="8" t="inlineStr">
        <is>
          <t>Trait</t>
        </is>
      </c>
      <c r="C201" s="8" t="inlineStr">
        <is>
          <t>Předtucha smrti</t>
        </is>
      </c>
      <c r="D201" s="8" t="n">
        <v>30</v>
      </c>
      <c r="E201" s="8" t="inlineStr">
        <is>
          <t>SP</t>
        </is>
      </c>
      <c r="F201" s="9" t="inlineStr">
        <is>
          <t>Nadání: Věštec; Jasnozřivost; Věštění X</t>
        </is>
      </c>
      <c r="G201" s="9" t="inlineStr">
        <is>
          <t>Získává Výhodu na všechny hody, u kterých by neúspěch znamenal smrt či situaci ke smrti směřující.</t>
        </is>
      </c>
    </row>
    <row r="202">
      <c r="A202" s="8" t="n">
        <v>438</v>
      </c>
      <c r="B202" s="8" t="inlineStr">
        <is>
          <t>Trait</t>
        </is>
      </c>
      <c r="C202" s="8" t="inlineStr">
        <is>
          <t>Spojení se zvířaty</t>
        </is>
      </c>
      <c r="D202" s="8" t="n">
        <v>10</v>
      </c>
      <c r="E202" s="8" t="inlineStr">
        <is>
          <t>SP</t>
        </is>
      </c>
      <c r="F202" s="9" t="inlineStr">
        <is>
          <t>Nadání: Spojení s přírodou; Zacházení se zvířaty IV</t>
        </is>
      </c>
      <c r="G202" s="9" t="inlineStr">
        <is>
          <t>Může navázat Pouto se zvířetem, sylvanem či drakovitým. Sdílí spolu telepatické pouto, skrze které lze komunikovat i na větší vzdálenost či sledovat dění očima druhého. Skrze Pouto vždy vycítí lokaci.</t>
        </is>
      </c>
    </row>
    <row r="203">
      <c r="A203" s="8" t="n">
        <v>440</v>
      </c>
      <c r="B203" s="8" t="inlineStr">
        <is>
          <t>Trait</t>
        </is>
      </c>
      <c r="C203" s="8" t="inlineStr">
        <is>
          <t>Zvířecí podoba</t>
        </is>
      </c>
      <c r="D203" s="8" t="n">
        <v>25</v>
      </c>
      <c r="E203" s="8" t="inlineStr">
        <is>
          <t>SP</t>
        </is>
      </c>
      <c r="F203" s="9" t="inlineStr">
        <is>
          <t>Nadání: Spojení s přírodou; Spojení se zvířaty</t>
        </is>
      </c>
      <c r="G203" s="9" t="inlineStr">
        <is>
          <t>Nemagická proměna na zvíře podobné velikosti, lze studovat a naučit se libovolné množství. Životy podle zvířete, životy se poměrně převádí. Klesnou-li životy na 0, promění se zpět do své podoby Vyřazený a na Pokraji smrti.</t>
        </is>
      </c>
    </row>
    <row r="204">
      <c r="A204" s="8" t="n">
        <v>442</v>
      </c>
      <c r="B204" s="8" t="inlineStr">
        <is>
          <t>Trait</t>
        </is>
      </c>
      <c r="C204" s="8" t="inlineStr">
        <is>
          <t>Přítel lesa</t>
        </is>
      </c>
      <c r="D204" s="8" t="n">
        <v>10</v>
      </c>
      <c r="E204" s="8" t="inlineStr">
        <is>
          <t>SP</t>
        </is>
      </c>
      <c r="F204" s="9" t="inlineStr">
        <is>
          <t>Nadání: Spojení s přírodou</t>
        </is>
      </c>
      <c r="G204" s="9" t="inlineStr">
        <is>
          <t>Umožňuje komunikovat se sylvany. Sylvani jsou méně agresivní.</t>
        </is>
      </c>
    </row>
    <row r="205">
      <c r="A205" s="8" t="n">
        <v>444</v>
      </c>
      <c r="B205" s="8" t="inlineStr">
        <is>
          <t>Trait</t>
        </is>
      </c>
      <c r="C205" s="8" t="inlineStr">
        <is>
          <t>Přítel zvířat</t>
        </is>
      </c>
      <c r="D205" s="8" t="n">
        <v>20</v>
      </c>
      <c r="E205" s="8" t="inlineStr">
        <is>
          <t>SP</t>
        </is>
      </c>
      <c r="F205" s="9" t="inlineStr">
        <is>
          <t>Přítel lesa; Meditace I</t>
        </is>
      </c>
      <c r="G205" s="9" t="inlineStr">
        <is>
          <t>Označí zvíře či sylvana na deset dní. Označit může až Vůle*1 zvířat či sylvanů. Ví, kde se označené zvíře či sylvan nachází a pokud se soustředí, je schopen vidět a slyšet to, co označené zvíře či sylvan. Pokud se soustředí, nevnímá okolí. Pokud se soustředí, může označené zvíře ovlivňovat.</t>
        </is>
      </c>
    </row>
    <row r="206">
      <c r="A206" s="8" t="n">
        <v>446</v>
      </c>
      <c r="B206" s="8" t="inlineStr">
        <is>
          <t>Trait</t>
        </is>
      </c>
      <c r="C206" s="8" t="inlineStr">
        <is>
          <t>Spojení s duchy</t>
        </is>
      </c>
      <c r="D206" s="8" t="n">
        <v>5</v>
      </c>
      <c r="E206" s="8" t="inlineStr">
        <is>
          <t>SP</t>
        </is>
      </c>
      <c r="F206" s="9" t="inlineStr">
        <is>
          <t>Nadání: Spiritualista</t>
        </is>
      </c>
      <c r="G206" s="9" t="inlineStr">
        <is>
          <t>Může navázat Pouto s duchem. Duch je Spiritualistovi vždy nablízku, připraven poradit či pomoci. Toto Pouto lze kdykoliv zrušit.</t>
        </is>
      </c>
    </row>
    <row r="207">
      <c r="A207" s="8" t="n">
        <v>448</v>
      </c>
      <c r="B207" s="8" t="inlineStr">
        <is>
          <t>Trait</t>
        </is>
      </c>
      <c r="C207" s="8" t="inlineStr">
        <is>
          <t>Pravdomluvný duch</t>
        </is>
      </c>
      <c r="D207" s="8" t="n">
        <v>10</v>
      </c>
      <c r="E207" s="8" t="inlineStr">
        <is>
          <t>SP</t>
        </is>
      </c>
      <c r="F207" s="9" t="inlineStr">
        <is>
          <t>Nadání: Spiritualista; Vhled I</t>
        </is>
      </c>
      <c r="G207" s="9" t="inlineStr">
        <is>
          <t>Vždy pozná, zda-li duch mluví pravdu.</t>
        </is>
      </c>
    </row>
    <row r="208">
      <c r="A208" s="8" t="n">
        <v>450</v>
      </c>
      <c r="B208" s="8" t="inlineStr">
        <is>
          <t>Trait</t>
        </is>
      </c>
      <c r="C208" s="8" t="inlineStr">
        <is>
          <t>Požírač duchů</t>
        </is>
      </c>
      <c r="D208" s="8" t="n">
        <v>25</v>
      </c>
      <c r="E208" s="8" t="inlineStr">
        <is>
          <t>SP</t>
        </is>
      </c>
      <c r="F208" s="9" t="inlineStr">
        <is>
          <t>Nadání: Spiritualista; Mentální souboj V</t>
        </is>
      </c>
      <c r="G208" s="9" t="inlineStr">
        <is>
          <t>Možnost pohltit ducha a získat tak přístup k některým jeho vzpomínkám a znalostem, versus Test Vůle na pohlcení. Pohlcení silných duchů může mít negativní následky.</t>
        </is>
      </c>
    </row>
    <row r="209">
      <c r="A209" s="8" t="n">
        <v>452</v>
      </c>
      <c r="B209" s="8" t="inlineStr">
        <is>
          <t>Trait</t>
        </is>
      </c>
      <c r="C209" s="8" t="inlineStr">
        <is>
          <t>Zhouba přízraků</t>
        </is>
      </c>
      <c r="D209" s="8" t="n">
        <v>10</v>
      </c>
      <c r="E209" s="8" t="inlineStr">
        <is>
          <t>SP</t>
        </is>
      </c>
      <c r="F209" s="9" t="inlineStr">
        <is>
          <t>Nadání: Spiritualista</t>
        </is>
      </c>
      <c r="G209" s="9" t="inlineStr">
        <is>
          <t>Nemůže být překvapen přeludy. Proti přeludům se každá zbraň počítá jako "magická" a neguje tak jisté vlastnosti přeludů.</t>
        </is>
      </c>
    </row>
    <row r="210">
      <c r="A210" s="8" t="n">
        <v>454</v>
      </c>
      <c r="B210" s="8" t="inlineStr">
        <is>
          <t>Trait</t>
        </is>
      </c>
      <c r="C210" s="8" t="inlineStr">
        <is>
          <t>Duševní pouto</t>
        </is>
      </c>
      <c r="D210" s="8" t="n">
        <v>10</v>
      </c>
      <c r="E210" s="8" t="inlineStr">
        <is>
          <t>SP</t>
        </is>
      </c>
      <c r="F210" s="9" t="inlineStr">
        <is>
          <t>Nadání: Empat</t>
        </is>
      </c>
      <c r="G210" s="9" t="inlineStr">
        <is>
          <t>Může navázat Pouto s humanoidem. Sdílí spolu telepatické pouto, skrze které lze komunikovat i na větší vzdálenost či sledovat dění očima druhého. Skrze Pouto vždy vycítí lokaci.</t>
        </is>
      </c>
    </row>
    <row r="211">
      <c r="A211" s="8" t="n">
        <v>456</v>
      </c>
      <c r="B211" s="8" t="inlineStr">
        <is>
          <t>Trait</t>
        </is>
      </c>
      <c r="C211" s="8" t="inlineStr">
        <is>
          <t>Duševní léčitel</t>
        </is>
      </c>
      <c r="D211" s="8" t="n">
        <v>15</v>
      </c>
      <c r="E211" s="8" t="inlineStr">
        <is>
          <t>SP</t>
        </is>
      </c>
      <c r="F211" s="9" t="inlineStr">
        <is>
          <t>Nadání: Empat; Meditace II</t>
        </is>
      </c>
      <c r="G211" s="9" t="inlineStr">
        <is>
          <t>Naváže s cílem intimní telepatické meditační pouto, díky kterému má šanci 75% na převedení bodu šílenství. Šance 45% na okamžité zrušení takto převedeného bodu šílenství. Empat získává jeden stupeň Únavy. Duševní léčení je u stejného cíle možné provést jednou za tři dny. Hranice šílenství +2.</t>
        </is>
      </c>
    </row>
    <row r="212">
      <c r="A212" s="8" t="n">
        <v>458</v>
      </c>
      <c r="B212" s="8" t="inlineStr">
        <is>
          <t>Trait</t>
        </is>
      </c>
      <c r="C212" s="8" t="inlineStr">
        <is>
          <t>Dotek pochopení</t>
        </is>
      </c>
      <c r="D212" s="8" t="n">
        <v>10</v>
      </c>
      <c r="E212" s="8" t="inlineStr">
        <is>
          <t>SP</t>
        </is>
      </c>
      <c r="F212" s="9" t="inlineStr">
        <is>
          <t>Duševní léčitel</t>
        </is>
      </c>
      <c r="G212" s="9" t="inlineStr">
        <is>
          <t>Duševní léčení má garantovanou šanci na převedení jednoho bodu šílenství a šanci 75% na převedení druhého bodu. Šance na zrušení bodu šílenství při převodu je nyní 55%.</t>
        </is>
      </c>
    </row>
    <row r="213">
      <c r="A213" s="8" t="n">
        <v>460</v>
      </c>
      <c r="B213" s="8" t="inlineStr">
        <is>
          <t>Trait</t>
        </is>
      </c>
      <c r="C213" s="8" t="inlineStr">
        <is>
          <t>Duševní terapeut</t>
        </is>
      </c>
      <c r="D213" s="8" t="n">
        <v>10</v>
      </c>
      <c r="E213" s="8" t="inlineStr">
        <is>
          <t>SP</t>
        </is>
      </c>
      <c r="F213" s="9" t="inlineStr">
        <is>
          <t>Dotek pochopení</t>
        </is>
      </c>
      <c r="G213" s="9" t="inlineStr">
        <is>
          <t>Duševní léčení může pomalu ničit konkrétní Šílenství. Každé Šílenství má 15 bodů šílenství coby své "životy", v momentě kdy jsou všechny převedeny pryč, Šílenství zaniká. Léčit Šílenství může pouze tehdy, pokud nemá cíl žádné body šílenství. Šílenství si obnovuje jeden "život" za měsíc.</t>
        </is>
      </c>
    </row>
    <row r="214">
      <c r="A214" s="8" t="n">
        <v>462</v>
      </c>
      <c r="B214" s="8" t="inlineStr">
        <is>
          <t>Trait</t>
        </is>
      </c>
      <c r="C214" s="8" t="inlineStr">
        <is>
          <t>Vnitřní mír</t>
        </is>
      </c>
      <c r="D214" s="8" t="n">
        <v>15</v>
      </c>
      <c r="E214" s="8" t="inlineStr">
        <is>
          <t>SP</t>
        </is>
      </c>
      <c r="F214" s="9" t="inlineStr">
        <is>
          <t>Nadání: Empat; Klidná mysl</t>
        </is>
      </c>
      <c r="G214" s="9" t="inlineStr">
        <is>
          <t>Jednou za pět dní se může skrze meditaci pokusit zbavit bodu šílenství, šance 40%. Pokud se úspěšně zbaví bodu, může se o další meditaci pokusit až za patnáct dní. Při kritickém úspěchu se zbaví 2 bodů šílensví. Nahrazuje meditaci za Klidnou mysl. Hranice šílenství +1.</t>
        </is>
      </c>
    </row>
    <row r="215">
      <c r="A215" s="8" t="n">
        <v>469</v>
      </c>
      <c r="B215" s="8" t="inlineStr">
        <is>
          <t>Racial</t>
        </is>
      </c>
      <c r="C215" s="8" t="inlineStr">
        <is>
          <t>Specializace: *Dovednost*</t>
        </is>
      </c>
      <c r="D215" s="8" t="n">
        <v>0</v>
      </c>
      <c r="E215" s="8" t="inlineStr">
        <is>
          <t>SP</t>
        </is>
      </c>
      <c r="F215" s="9" t="inlineStr">
        <is>
          <t>Člověk</t>
        </is>
      </c>
      <c r="G215" s="9" t="inlineStr">
        <is>
          <t>Vybírá si jednu nebojovou dovednost, na kterou má slevu 3 SP za stupeň a bonus +5%. Může 1x za den opakovat hod na *Dovednost*</t>
        </is>
      </c>
    </row>
    <row r="216">
      <c r="A216" s="8" t="n">
        <v>471</v>
      </c>
      <c r="B216" s="8" t="inlineStr">
        <is>
          <t>Racial</t>
        </is>
      </c>
      <c r="C216" s="8" t="inlineStr">
        <is>
          <t>Lidská učenlivost I</t>
        </is>
      </c>
      <c r="D216" s="8" t="n">
        <v>5</v>
      </c>
      <c r="E216" s="8" t="inlineStr">
        <is>
          <t>SP</t>
        </is>
      </c>
      <c r="F216" s="9" t="inlineStr">
        <is>
          <t>Člověk; Inteligence 4</t>
        </is>
      </c>
      <c r="G216" s="9" t="inlineStr">
        <is>
          <t>Učení se dovednostem je o 1 den rychlejší, učení se jazykům, čtení a psaní je o 5 dní rychlejší.</t>
        </is>
      </c>
    </row>
    <row r="217">
      <c r="A217" s="8" t="n">
        <v>473</v>
      </c>
      <c r="B217" s="8" t="inlineStr">
        <is>
          <t>Racial</t>
        </is>
      </c>
      <c r="C217" s="8" t="inlineStr">
        <is>
          <t>Lidská učenlivost II</t>
        </is>
      </c>
      <c r="D217" s="8" t="n">
        <v>20</v>
      </c>
      <c r="E217" s="8" t="inlineStr">
        <is>
          <t>SP</t>
        </is>
      </c>
      <c r="F217" s="9" t="inlineStr">
        <is>
          <t>Člověk; Lidská učenlivost I; Dokončená specializace</t>
        </is>
      </c>
      <c r="G217" s="9" t="inlineStr">
        <is>
          <t>Může si jednou vybrat druhý bonus za dokončení podpůrné specializace.</t>
        </is>
      </c>
    </row>
    <row r="218">
      <c r="A218" s="8" t="n">
        <v>475</v>
      </c>
      <c r="B218" s="8" t="inlineStr">
        <is>
          <t>Racial</t>
        </is>
      </c>
      <c r="C218" s="8" t="inlineStr">
        <is>
          <t>Lidská umíněnost I</t>
        </is>
      </c>
      <c r="D218" s="8" t="n">
        <v>10</v>
      </c>
      <c r="E218" s="8" t="inlineStr">
        <is>
          <t>SP</t>
        </is>
      </c>
      <c r="F218" s="9" t="inlineStr">
        <is>
          <t>Člověk</t>
        </is>
      </c>
      <c r="G218" s="9" t="inlineStr">
        <is>
          <t>Snižuje požadavky na Učitele a Primární vlastnost specializované dovednosti o jedna.</t>
        </is>
      </c>
    </row>
    <row r="219">
      <c r="A219" s="8" t="n">
        <v>477</v>
      </c>
      <c r="B219" s="8" t="inlineStr">
        <is>
          <t>Racial</t>
        </is>
      </c>
      <c r="C219" s="8" t="inlineStr">
        <is>
          <t>Lidská umíněnost II</t>
        </is>
      </c>
      <c r="D219" s="8" t="n">
        <v>20</v>
      </c>
      <c r="E219" s="8" t="inlineStr">
        <is>
          <t>SP</t>
        </is>
      </c>
      <c r="F219" s="9" t="inlineStr">
        <is>
          <t>Člověk; Lidská umíněnost I</t>
        </is>
      </c>
      <c r="G219" s="9" t="inlineStr">
        <is>
          <t>Snižuje požadavky na Učitele a Primární vlastnost jedné zvolené dovednosti o jedna. Nesmí se jednat o stejnou dovednost.</t>
        </is>
      </c>
    </row>
    <row r="220">
      <c r="A220" s="8" t="n">
        <v>479</v>
      </c>
      <c r="B220" s="8" t="inlineStr">
        <is>
          <t>Racial</t>
        </is>
      </c>
      <c r="C220" s="8" t="inlineStr">
        <is>
          <t>Talentovaný I</t>
        </is>
      </c>
      <c r="D220" s="8" t="n">
        <v>10</v>
      </c>
      <c r="E220" s="8" t="inlineStr">
        <is>
          <t>SP</t>
        </is>
      </c>
      <c r="F220" s="9" t="inlineStr">
        <is>
          <t>Člověk; *Dovednost C* I</t>
        </is>
      </c>
      <c r="G220" s="9" t="inlineStr">
        <is>
          <t>Bonus +5% do *Dovednosti*, může 1x za den opakovat hod na *Dovednost*. Nesmí to být stejná dovednost, která byla zvolena ve "Specializace: *Dovednost*"</t>
        </is>
      </c>
    </row>
    <row r="221">
      <c r="A221" s="8" t="n">
        <v>481</v>
      </c>
      <c r="B221" s="8" t="inlineStr">
        <is>
          <t>Racial</t>
        </is>
      </c>
      <c r="C221" s="8" t="inlineStr">
        <is>
          <t>Talentovaný II</t>
        </is>
      </c>
      <c r="D221" s="8" t="n">
        <v>20</v>
      </c>
      <c r="E221" s="8" t="inlineStr">
        <is>
          <t>SP</t>
        </is>
      </c>
      <c r="F221" s="9" t="inlineStr">
        <is>
          <t>Člověk; *Dovednost C/B* I; Talentovaný I</t>
        </is>
      </c>
      <c r="G221" s="9" t="inlineStr">
        <is>
          <t>Bonus +5% do *Dovednosti*, může 1x za den opakovat hod na *Dovednost*. Nesmí to být stejná dovednost, která byla zvolena ve "Specializace: *Dovednost* a Talentovaný I"</t>
        </is>
      </c>
    </row>
    <row r="222">
      <c r="A222" s="8" t="n">
        <v>483</v>
      </c>
      <c r="B222" s="8" t="inlineStr">
        <is>
          <t>Racial</t>
        </is>
      </c>
      <c r="C222" s="8" t="inlineStr">
        <is>
          <t>Talentovaný III</t>
        </is>
      </c>
      <c r="D222" s="8" t="n">
        <v>20</v>
      </c>
      <c r="E222" s="8" t="inlineStr">
        <is>
          <t>SP</t>
        </is>
      </c>
      <c r="F222" s="9" t="inlineStr">
        <is>
          <t>Člověk; *Dovednost C/B/A* I;  Talentovaný II</t>
        </is>
      </c>
      <c r="G222" s="9" t="inlineStr">
        <is>
          <t>Bonus +5% do *Dovednosti*, může 1x za den opakovat hod na *Dovednost*. Nesmí to být stejná dovednost, která byla zvolena ve "Specializace: *Dovednost*, Talentovaný I a Talentovaný II"</t>
        </is>
      </c>
    </row>
    <row r="223">
      <c r="A223" s="8" t="n">
        <v>485</v>
      </c>
      <c r="B223" s="8" t="inlineStr">
        <is>
          <t>Racial</t>
        </is>
      </c>
      <c r="C223" s="8" t="inlineStr">
        <is>
          <t>Lidská vynalézavost</t>
        </is>
      </c>
      <c r="D223" s="8" t="n">
        <v>10</v>
      </c>
      <c r="E223" s="8" t="inlineStr">
        <is>
          <t>SP</t>
        </is>
      </c>
      <c r="F223" s="9" t="inlineStr">
        <is>
          <t>Člověk; Výzkum III</t>
        </is>
      </c>
      <c r="G223" s="9" t="inlineStr">
        <is>
          <t>Fáze výzkumu je o 2 dny kratší. Může 1x za den opakovat hod na Výzkum.</t>
        </is>
      </c>
    </row>
    <row r="224">
      <c r="A224" s="8" t="n">
        <v>487</v>
      </c>
      <c r="B224" s="8" t="inlineStr">
        <is>
          <t>Racial</t>
        </is>
      </c>
      <c r="C224" s="8" t="inlineStr">
        <is>
          <t>Specialista</t>
        </is>
      </c>
      <c r="D224" s="8" t="n">
        <v>0</v>
      </c>
      <c r="E224" s="8" t="inlineStr">
        <is>
          <t>SP</t>
        </is>
      </c>
      <c r="F224" s="9" t="inlineStr">
        <is>
          <t>Člověk</t>
        </is>
      </c>
      <c r="G224" s="9" t="inlineStr">
        <is>
          <t>Může si zvolit jednu ze svých specializací. Každý stupeň této specializace je levnější o 3 SP.</t>
        </is>
      </c>
    </row>
    <row r="225">
      <c r="A225" s="8" t="n">
        <v>489</v>
      </c>
      <c r="B225" s="8" t="inlineStr">
        <is>
          <t>Racial</t>
        </is>
      </c>
      <c r="C225" s="8" t="inlineStr">
        <is>
          <t>Zkušený válečník</t>
        </is>
      </c>
      <c r="D225" s="8" t="n">
        <v>5</v>
      </c>
      <c r="E225" s="8" t="inlineStr">
        <is>
          <t>CP</t>
        </is>
      </c>
      <c r="F225" s="9" t="inlineStr">
        <is>
          <t>Člověk; Souboj X</t>
        </is>
      </c>
      <c r="G225" s="9" t="inlineStr">
        <is>
          <t>Bonus na Zásah a Obranu +5%</t>
        </is>
      </c>
    </row>
    <row r="226">
      <c r="A226" s="8" t="n">
        <v>491</v>
      </c>
      <c r="B226" s="8" t="inlineStr">
        <is>
          <t>Racial</t>
        </is>
      </c>
      <c r="C226" s="8" t="inlineStr">
        <is>
          <t>Zkušený střelec</t>
        </is>
      </c>
      <c r="D226" s="8" t="n">
        <v>5</v>
      </c>
      <c r="E226" s="8" t="inlineStr">
        <is>
          <t>CP</t>
        </is>
      </c>
      <c r="F226" s="9" t="inlineStr">
        <is>
          <t>Člověk; Střelba X</t>
        </is>
      </c>
      <c r="G226" s="9" t="inlineStr">
        <is>
          <t>Bonus na Střelbu +5%</t>
        </is>
      </c>
    </row>
    <row r="227">
      <c r="A227" s="8" t="n">
        <v>494</v>
      </c>
      <c r="B227" s="8" t="inlineStr">
        <is>
          <t>Racial</t>
        </is>
      </c>
      <c r="C227" s="8" t="inlineStr">
        <is>
          <t>Trpasličí játra</t>
        </is>
      </c>
      <c r="D227" s="8" t="n">
        <v>20</v>
      </c>
      <c r="E227" s="8" t="inlineStr">
        <is>
          <t>SP</t>
        </is>
      </c>
      <c r="F227" s="9" t="inlineStr">
        <is>
          <t>Trpaslík; Pijáctví I</t>
        </is>
      </c>
      <c r="G227" s="9" t="inlineStr">
        <is>
          <t>Bonus +5% do Pijáctví, může 1x za den opakovat hod na Pijáctví. Toxicita +5. Šance na zbavení se bodu šílenství skrze alkohol zvýšena o 10%.</t>
        </is>
      </c>
    </row>
    <row r="228">
      <c r="A228" s="8" t="n">
        <v>496</v>
      </c>
      <c r="B228" s="8" t="inlineStr">
        <is>
          <t>Racial</t>
        </is>
      </c>
      <c r="C228" s="8" t="inlineStr">
        <is>
          <t>Trpasličí vytrvalost</t>
        </is>
      </c>
      <c r="D228" s="8" t="n">
        <v>20</v>
      </c>
      <c r="E228" s="8" t="inlineStr">
        <is>
          <t>SP</t>
        </is>
      </c>
      <c r="F228" s="9" t="inlineStr">
        <is>
          <t>Trpaslík; Svaly I</t>
        </is>
      </c>
      <c r="G228" s="9" t="inlineStr">
        <is>
          <t>Bonus +5% do Síly, může 1x za den opakovat hod na Sílu. Výdrž +2</t>
        </is>
      </c>
    </row>
    <row r="229">
      <c r="A229" s="8" t="n">
        <v>498</v>
      </c>
      <c r="B229" s="8" t="inlineStr">
        <is>
          <t>Racial</t>
        </is>
      </c>
      <c r="C229" s="8" t="inlineStr">
        <is>
          <t>Trpasličí nezdolnost</t>
        </is>
      </c>
      <c r="D229" s="8" t="n">
        <v>20</v>
      </c>
      <c r="E229" s="8" t="inlineStr">
        <is>
          <t>SP</t>
        </is>
      </c>
      <c r="F229" s="9" t="inlineStr">
        <is>
          <t>Trpaslík; Atletika V</t>
        </is>
      </c>
      <c r="G229" s="9" t="inlineStr">
        <is>
          <t>Únava se vždy počítá jako o jeden stupeň nižší.</t>
        </is>
      </c>
    </row>
    <row r="230">
      <c r="A230" s="8" t="n">
        <v>500</v>
      </c>
      <c r="B230" s="8" t="inlineStr">
        <is>
          <t>Racial</t>
        </is>
      </c>
      <c r="C230" s="8" t="inlineStr">
        <is>
          <t>Trpasličí odolnost</t>
        </is>
      </c>
      <c r="D230" s="8" t="n">
        <v>20</v>
      </c>
      <c r="E230" s="8" t="inlineStr">
        <is>
          <t>CP</t>
        </is>
      </c>
      <c r="F230" s="9" t="inlineStr">
        <is>
          <t>Trpaslík; Odolnost 4</t>
        </is>
      </c>
      <c r="G230" s="9" t="inlineStr">
        <is>
          <t>Odolnost proti magii +50%</t>
        </is>
      </c>
    </row>
    <row r="231">
      <c r="A231" s="8" t="n">
        <v>502</v>
      </c>
      <c r="B231" s="8" t="inlineStr">
        <is>
          <t>Racial</t>
        </is>
      </c>
      <c r="C231" s="8" t="inlineStr">
        <is>
          <t>Trpasličí imunita I</t>
        </is>
      </c>
      <c r="D231" s="8" t="n">
        <v>10</v>
      </c>
      <c r="E231" s="8" t="inlineStr">
        <is>
          <t>CP</t>
        </is>
      </c>
      <c r="F231" s="9" t="inlineStr">
        <is>
          <t>Vardur; Odolnost 4</t>
        </is>
      </c>
      <c r="G231" s="9" t="inlineStr">
        <is>
          <t>Šance +10% na imunitu proti kouzlům. Bonus +10% na všechny Testy vyvolané magií.</t>
        </is>
      </c>
    </row>
    <row r="232">
      <c r="A232" s="8" t="n">
        <v>504</v>
      </c>
      <c r="B232" s="8" t="inlineStr">
        <is>
          <t>Racial</t>
        </is>
      </c>
      <c r="C232" s="8" t="inlineStr">
        <is>
          <t>Trpasličí imunita II</t>
        </is>
      </c>
      <c r="D232" s="8" t="n">
        <v>10</v>
      </c>
      <c r="E232" s="8" t="inlineStr">
        <is>
          <t>CP</t>
        </is>
      </c>
      <c r="F232" s="9" t="inlineStr">
        <is>
          <t>Vardur; Odolnost 5; Trpasličí imunita I</t>
        </is>
      </c>
      <c r="G232" s="9" t="inlineStr">
        <is>
          <t>Šance +15% na imunitu proti kouzlům.</t>
        </is>
      </c>
    </row>
    <row r="233">
      <c r="A233" s="8" t="n">
        <v>506</v>
      </c>
      <c r="B233" s="8" t="inlineStr">
        <is>
          <t>Racial</t>
        </is>
      </c>
      <c r="C233" s="8" t="inlineStr">
        <is>
          <t>Trpasličí talent</t>
        </is>
      </c>
      <c r="D233" s="8" t="n">
        <v>15</v>
      </c>
      <c r="E233" s="8" t="inlineStr">
        <is>
          <t>SP</t>
        </is>
      </c>
      <c r="F233" s="9" t="inlineStr">
        <is>
          <t>Vardur; Kovářství I</t>
        </is>
      </c>
      <c r="G233" s="9" t="inlineStr">
        <is>
          <t>Bonus +5% do Kovářství, může 1x za den opakovat hod na Kovářství. Odstraňuje postihy na Rychlost za Těžké zbroje.</t>
        </is>
      </c>
    </row>
    <row r="234">
      <c r="A234" s="8" t="n">
        <v>508</v>
      </c>
      <c r="B234" s="8" t="inlineStr">
        <is>
          <t>Racial</t>
        </is>
      </c>
      <c r="C234" s="8" t="inlineStr">
        <is>
          <t>Železná kůže</t>
        </is>
      </c>
      <c r="D234" s="8" t="n">
        <v>15</v>
      </c>
      <c r="E234" s="8" t="inlineStr">
        <is>
          <t>CP</t>
        </is>
      </c>
      <c r="F234" s="9" t="inlineStr">
        <is>
          <t>Vardur; Zbraň VII</t>
        </is>
      </c>
      <c r="G234" s="9" t="inlineStr">
        <is>
          <t>Zvyšuje pasivní kvalitu zbroje o 1 a Životy o 10.</t>
        </is>
      </c>
    </row>
    <row r="235">
      <c r="A235" s="8" t="n">
        <v>510</v>
      </c>
      <c r="B235" s="8" t="inlineStr">
        <is>
          <t>Racial</t>
        </is>
      </c>
      <c r="C235" s="8" t="inlineStr">
        <is>
          <t>Trik bezkastého</t>
        </is>
      </c>
      <c r="D235" s="8" t="n">
        <v>15</v>
      </c>
      <c r="E235" s="8" t="inlineStr">
        <is>
          <t>SP</t>
        </is>
      </c>
      <c r="F235" s="9" t="inlineStr">
        <is>
          <t>Borgor; Kapsářství I; Odemykání zámků I</t>
        </is>
      </c>
      <c r="G235" s="9" t="inlineStr">
        <is>
          <t>Bonus +5% do Kapsářství a Odemykání zámků, může 1x za den opakovat hod na Kapsářství nebo Odemykání zámků.</t>
        </is>
      </c>
    </row>
    <row r="236">
      <c r="A236" s="8" t="n">
        <v>512</v>
      </c>
      <c r="B236" s="8" t="inlineStr">
        <is>
          <t>Racial</t>
        </is>
      </c>
      <c r="C236" s="8" t="inlineStr">
        <is>
          <t>Partizán</t>
        </is>
      </c>
      <c r="D236" s="8" t="n">
        <v>15</v>
      </c>
      <c r="E236" s="8" t="inlineStr">
        <is>
          <t>SP</t>
        </is>
      </c>
      <c r="F236" s="9" t="inlineStr">
        <is>
          <t>Borgor</t>
        </is>
      </c>
      <c r="G236" s="9" t="inlineStr">
        <is>
          <t>Fyzická hranice Rychlosti +1. Při přepadu (či překvapení) získává automaticky hod 12 na určení Pořadí tahu.</t>
        </is>
      </c>
    </row>
    <row r="237">
      <c r="A237" s="8" t="n">
        <v>514</v>
      </c>
      <c r="B237" s="8" t="inlineStr">
        <is>
          <t>Racial</t>
        </is>
      </c>
      <c r="C237" s="8" t="inlineStr">
        <is>
          <t>Trpasličí pikenýr</t>
        </is>
      </c>
      <c r="D237" s="8" t="n">
        <v>5</v>
      </c>
      <c r="E237" s="8" t="inlineStr">
        <is>
          <t>CP</t>
        </is>
      </c>
      <c r="F237" s="9" t="inlineStr">
        <is>
          <t>Borgor; Dřevcové V</t>
        </is>
      </c>
      <c r="G237" s="9" t="inlineStr">
        <is>
          <t>Nemá postih na Obranu a Zásah z kontaktní vzdálenosti při používání zbraní s Dlouhým dosahem.</t>
        </is>
      </c>
    </row>
    <row r="238">
      <c r="A238" s="8" t="n">
        <v>516</v>
      </c>
      <c r="B238" s="8" t="inlineStr">
        <is>
          <t>Racial</t>
        </is>
      </c>
      <c r="C238" s="8" t="inlineStr">
        <is>
          <t>Trpasličí kušník</t>
        </is>
      </c>
      <c r="D238" s="8" t="n">
        <v>5</v>
      </c>
      <c r="E238" s="8" t="inlineStr">
        <is>
          <t>CP</t>
        </is>
      </c>
      <c r="F238" s="9" t="inlineStr">
        <is>
          <t>Borgor; Kušník I</t>
        </is>
      </c>
      <c r="G238" s="9" t="inlineStr">
        <is>
          <t>Požadavky na Sílu jsou pro kuše o 2 menší. Kritický rozsah +1 při používání kuší. Při střelbě z kuše získává Ověření +5%</t>
        </is>
      </c>
    </row>
    <row r="239">
      <c r="A239" s="8" t="n">
        <v>519</v>
      </c>
      <c r="B239" s="8" t="inlineStr">
        <is>
          <t>Racial</t>
        </is>
      </c>
      <c r="C239" s="8" t="inlineStr">
        <is>
          <t>Elfská zručnost</t>
        </is>
      </c>
      <c r="D239" s="8" t="n">
        <v>10</v>
      </c>
      <c r="E239" s="8" t="inlineStr">
        <is>
          <t>SP</t>
        </is>
      </c>
      <c r="F239" s="9" t="inlineStr">
        <is>
          <t>Elf; *Dovednost* I</t>
        </is>
      </c>
      <c r="G239" s="9" t="inlineStr">
        <is>
          <t>Snižuje šanci na Kritický neúspěch o 3% na vybrané Řemeslo nebo Kovářství. Může 1x za den opakovat hod na totéž Řemeslo/Kovářství.</t>
        </is>
      </c>
    </row>
    <row r="240">
      <c r="A240" s="8" t="n">
        <v>521</v>
      </c>
      <c r="B240" s="8" t="inlineStr">
        <is>
          <t>Racial</t>
        </is>
      </c>
      <c r="C240" s="8" t="inlineStr">
        <is>
          <t>Elfská mrštnost</t>
        </is>
      </c>
      <c r="D240" s="8" t="n">
        <v>25</v>
      </c>
      <c r="E240" s="8" t="inlineStr">
        <is>
          <t>SP</t>
        </is>
      </c>
      <c r="F240" s="9" t="inlineStr">
        <is>
          <t>Elf; Akrobacie I</t>
        </is>
      </c>
      <c r="G240" s="9" t="inlineStr">
        <is>
          <t>Bonus +5% do Akrobacie, může 1x za den opakovat hod na Akrobacii. Opakovaný hod nebude spotřebován, pokud vyústí v Kritický úspěch.</t>
        </is>
      </c>
    </row>
    <row r="241">
      <c r="A241" s="8" t="n">
        <v>523</v>
      </c>
      <c r="B241" s="8" t="inlineStr">
        <is>
          <t>Racial</t>
        </is>
      </c>
      <c r="C241" s="8" t="inlineStr">
        <is>
          <t>Elfské reflexy</t>
        </is>
      </c>
      <c r="D241" s="8" t="n">
        <v>5</v>
      </c>
      <c r="E241" s="8" t="inlineStr">
        <is>
          <t>CP</t>
        </is>
      </c>
      <c r="F241" s="9" t="inlineStr">
        <is>
          <t>Elf; Vnímání 4</t>
        </is>
      </c>
      <c r="G241" s="9" t="inlineStr">
        <is>
          <t>Zvyšuje Iniciativu o +2</t>
        </is>
      </c>
    </row>
    <row r="242">
      <c r="A242" s="8" t="n">
        <v>525</v>
      </c>
      <c r="B242" s="8" t="inlineStr">
        <is>
          <t>Racial</t>
        </is>
      </c>
      <c r="C242" s="8" t="inlineStr">
        <is>
          <t>Specializace: *Dovednost*</t>
        </is>
      </c>
      <c r="D242" s="8" t="n">
        <v>0</v>
      </c>
      <c r="E242" s="8" t="inlineStr">
        <is>
          <t>SP</t>
        </is>
      </c>
      <c r="F242" s="9" t="inlineStr">
        <is>
          <t>Eldarai</t>
        </is>
      </c>
      <c r="G242" s="9" t="inlineStr">
        <is>
          <t>Vybírá si jednu nebojovou dovednost, na kterou má slevu 3 SP za stupeň a bonus +5%. Může 1x za den opakovat hod na *Dovednost*</t>
        </is>
      </c>
    </row>
    <row r="243">
      <c r="A243" s="8" t="n">
        <v>527</v>
      </c>
      <c r="B243" s="8" t="inlineStr">
        <is>
          <t>Racial</t>
        </is>
      </c>
      <c r="C243" s="8" t="inlineStr">
        <is>
          <t>Elfská učenlivost I</t>
        </is>
      </c>
      <c r="D243" s="8" t="n">
        <v>5</v>
      </c>
      <c r="E243" s="8" t="inlineStr">
        <is>
          <t>SP</t>
        </is>
      </c>
      <c r="F243" s="9" t="inlineStr">
        <is>
          <t>Eldarai; Inteligence 4</t>
        </is>
      </c>
      <c r="G243" s="9" t="inlineStr">
        <is>
          <t>Učení se dovednostem je o 1 den rychlejší, učení se jazykům, čtení a psaní je o 5 dní rychlejší.</t>
        </is>
      </c>
    </row>
    <row r="244">
      <c r="A244" s="8" t="n">
        <v>529</v>
      </c>
      <c r="B244" s="8" t="inlineStr">
        <is>
          <t>Racial</t>
        </is>
      </c>
      <c r="C244" s="8" t="inlineStr">
        <is>
          <t>Elfská učenlivost II</t>
        </is>
      </c>
      <c r="D244" s="8" t="n">
        <v>20</v>
      </c>
      <c r="E244" s="8" t="inlineStr">
        <is>
          <t>SP</t>
        </is>
      </c>
      <c r="F244" s="9" t="inlineStr">
        <is>
          <t>Eldarai; Elfská učenlivost I; Dokončená specializace</t>
        </is>
      </c>
      <c r="G244" s="9" t="inlineStr">
        <is>
          <t>Může si jednou vybrat druhý bonus za dokončení podpůrné specializace.</t>
        </is>
      </c>
    </row>
    <row r="245">
      <c r="A245" s="8" t="n">
        <v>531</v>
      </c>
      <c r="B245" s="8" t="inlineStr">
        <is>
          <t>Racial</t>
        </is>
      </c>
      <c r="C245" s="8" t="inlineStr">
        <is>
          <t>Elfský talent</t>
        </is>
      </c>
      <c r="D245" s="8" t="n">
        <v>20</v>
      </c>
      <c r="E245" s="8" t="inlineStr">
        <is>
          <t>SP</t>
        </is>
      </c>
      <c r="F245" s="9" t="inlineStr">
        <is>
          <t>Eldarai; *Dovednost C/B* I</t>
        </is>
      </c>
      <c r="G245" s="9" t="inlineStr">
        <is>
          <t>Bonus +5% do *Dovednosti*, může 1x za den opakovat hod na *Dovednost*. Nesmí to být stejná dovednost, která byla zvolena ve "Specializace: *Dovednost*</t>
        </is>
      </c>
    </row>
    <row r="246">
      <c r="A246" s="8" t="n">
        <v>533</v>
      </c>
      <c r="B246" s="8" t="inlineStr">
        <is>
          <t>Racial</t>
        </is>
      </c>
      <c r="C246" s="8" t="inlineStr">
        <is>
          <t>Elfská dokonalost</t>
        </is>
      </c>
      <c r="D246" s="8" t="n">
        <v>15</v>
      </c>
      <c r="E246" s="8" t="inlineStr">
        <is>
          <t>SP</t>
        </is>
      </c>
      <c r="F246" s="9" t="inlineStr">
        <is>
          <t>Eldarai; *Dovednost C/B/A*: Adept</t>
        </is>
      </c>
      <c r="G246" s="9" t="inlineStr">
        <is>
          <t>Vybere si jednu nebojovou dovednost. Může opakovat Kriticky neúspěšný hod na *Dovednost* za cenu dvou opakování hodu.</t>
        </is>
      </c>
    </row>
    <row r="247">
      <c r="A247" s="8" t="n">
        <v>535</v>
      </c>
      <c r="B247" s="8" t="inlineStr">
        <is>
          <t>Racial</t>
        </is>
      </c>
      <c r="C247" s="8" t="inlineStr">
        <is>
          <t>Dar Isarrela</t>
        </is>
      </c>
      <c r="D247" s="8" t="n">
        <v>15</v>
      </c>
      <c r="E247" s="8" t="inlineStr">
        <is>
          <t>SP</t>
        </is>
      </c>
      <c r="F247" s="9" t="inlineStr">
        <is>
          <t>Lomerai; Chodec ve snu I</t>
        </is>
      </c>
      <c r="G247" s="9" t="inlineStr">
        <is>
          <t>Bonus +5% do Chodce ve snu, může 1x za den opakovat hod na Chodce ve snu.</t>
        </is>
      </c>
    </row>
    <row r="248">
      <c r="A248" s="8" t="n">
        <v>537</v>
      </c>
      <c r="B248" s="8" t="inlineStr">
        <is>
          <t>Racial</t>
        </is>
      </c>
      <c r="C248" s="8" t="inlineStr">
        <is>
          <t>Měsíční čepel</t>
        </is>
      </c>
      <c r="D248" s="8" t="n">
        <v>10</v>
      </c>
      <c r="E248" s="8" t="inlineStr">
        <is>
          <t>CP</t>
        </is>
      </c>
      <c r="F248" s="9" t="inlineStr">
        <is>
          <t>Lomerai; Dřevcové IV</t>
        </is>
      </c>
      <c r="G248" s="9" t="inlineStr">
        <is>
          <t>Při používání Dřevcových zbraní zvyšuje šanci na způsobení Krvácení o +10%, Omráčení o +5% a Kritický rozsah o 2</t>
        </is>
      </c>
    </row>
    <row r="249">
      <c r="A249" s="8" t="n">
        <v>539</v>
      </c>
      <c r="B249" s="8" t="inlineStr">
        <is>
          <t>Racial</t>
        </is>
      </c>
      <c r="C249" s="8" t="inlineStr">
        <is>
          <t>Zkouška Nétt</t>
        </is>
      </c>
      <c r="D249" s="8" t="n">
        <v>10</v>
      </c>
      <c r="E249" s="8" t="inlineStr">
        <is>
          <t>CP</t>
        </is>
      </c>
      <c r="F249" s="9" t="inlineStr">
        <is>
          <t>Lomerai; Usměrňování I</t>
        </is>
      </c>
      <c r="G249" s="9" t="inlineStr">
        <is>
          <t>Základ many +2. Jednou za noc získá bod šílenství aby si okamžitě obnovil manu v hodnotě Dlouhého odpočinku.</t>
        </is>
      </c>
    </row>
    <row r="250">
      <c r="A250" s="8" t="n">
        <v>541</v>
      </c>
      <c r="B250" s="8" t="inlineStr">
        <is>
          <t>Racial</t>
        </is>
      </c>
      <c r="C250" s="8" t="inlineStr">
        <is>
          <t>Měsíční ladnost</t>
        </is>
      </c>
      <c r="D250" s="8" t="n">
        <v>10</v>
      </c>
      <c r="E250" s="8" t="inlineStr">
        <is>
          <t>CP</t>
        </is>
      </c>
      <c r="F250" s="9" t="inlineStr">
        <is>
          <t>Lomerai; Zbraň V</t>
        </is>
      </c>
      <c r="G250" s="9" t="inlineStr">
        <is>
          <t>Při používání Vytříbených zbraní získává Ověření +10%</t>
        </is>
      </c>
    </row>
    <row r="251">
      <c r="A251" s="8" t="n">
        <v>543</v>
      </c>
      <c r="B251" s="8" t="inlineStr">
        <is>
          <t>Racial</t>
        </is>
      </c>
      <c r="C251" s="8" t="inlineStr">
        <is>
          <t>Spojení se vzduchem</t>
        </is>
      </c>
      <c r="D251" s="8" t="n">
        <v>5</v>
      </c>
      <c r="E251" s="8" t="inlineStr">
        <is>
          <t>CP</t>
        </is>
      </c>
      <c r="F251" s="9" t="inlineStr">
        <is>
          <t>Lomerai; Škola Vzduchu I</t>
        </is>
      </c>
      <c r="G251" s="9" t="inlineStr">
        <is>
          <t>Všechna kouzla Školy Vzduchu mají o +3% větší šanci na Kritický úspěch a bonus +3 do Kritického rozsahu.</t>
        </is>
      </c>
    </row>
    <row r="252">
      <c r="A252" s="8" t="n">
        <v>545</v>
      </c>
      <c r="B252" s="8" t="inlineStr">
        <is>
          <t>Racial</t>
        </is>
      </c>
      <c r="C252" s="8" t="inlineStr">
        <is>
          <t>Bystré oko</t>
        </is>
      </c>
      <c r="D252" s="8" t="n">
        <v>10</v>
      </c>
      <c r="E252" s="8" t="inlineStr">
        <is>
          <t>CP</t>
        </is>
      </c>
      <c r="F252" s="9" t="inlineStr">
        <is>
          <t>Ornerai; Střelba V</t>
        </is>
      </c>
      <c r="G252" s="9" t="inlineStr">
        <is>
          <t>Při střelbě z luku získává Ověření +10%</t>
        </is>
      </c>
    </row>
    <row r="253">
      <c r="A253" s="8" t="n">
        <v>547</v>
      </c>
      <c r="B253" s="8" t="inlineStr">
        <is>
          <t>Racial</t>
        </is>
      </c>
      <c r="C253" s="8" t="inlineStr">
        <is>
          <t>Fenrylův dar</t>
        </is>
      </c>
      <c r="D253" s="8" t="n">
        <v>10</v>
      </c>
      <c r="E253" s="8" t="inlineStr">
        <is>
          <t>CP</t>
        </is>
      </c>
      <c r="F253" s="9" t="inlineStr">
        <is>
          <t>Ornerai; Škola Země VI</t>
        </is>
      </c>
      <c r="G253" s="9" t="inlineStr">
        <is>
          <t>Vybere si jednu proměnu, která nestojí žádnou manu a nevyžaduje Test Usměrňování.</t>
        </is>
      </c>
    </row>
    <row r="254">
      <c r="A254" s="8" t="n">
        <v>549</v>
      </c>
      <c r="B254" s="8" t="inlineStr">
        <is>
          <t>Racial</t>
        </is>
      </c>
      <c r="C254" s="8" t="inlineStr">
        <is>
          <t>Spříznění s lukem</t>
        </is>
      </c>
      <c r="D254" s="8" t="n">
        <v>5</v>
      </c>
      <c r="E254" s="8" t="inlineStr">
        <is>
          <t>CP</t>
        </is>
      </c>
      <c r="F254" s="9" t="inlineStr">
        <is>
          <t>Ornerai; Střelba VIII</t>
        </is>
      </c>
      <c r="G254" s="9" t="inlineStr">
        <is>
          <t>Při používání luku má zvýšený Kritický rozsah o 3</t>
        </is>
      </c>
    </row>
    <row r="255">
      <c r="A255" s="8" t="n">
        <v>551</v>
      </c>
      <c r="B255" s="8" t="inlineStr">
        <is>
          <t>Racial</t>
        </is>
      </c>
      <c r="C255" s="8" t="inlineStr">
        <is>
          <t>Dar Caerys</t>
        </is>
      </c>
      <c r="D255" s="8" t="n">
        <v>10</v>
      </c>
      <c r="E255" s="8" t="inlineStr">
        <is>
          <t>SP</t>
        </is>
      </c>
      <c r="F255" s="9" t="inlineStr">
        <is>
          <t>Ornerai; Zacházení se zvířaty II</t>
        </is>
      </c>
      <c r="G255" s="9" t="inlineStr">
        <is>
          <t>Může navázat komunikaci s libovolným zvířetem, na které vidí.</t>
        </is>
      </c>
    </row>
    <row r="256">
      <c r="A256" s="8" t="n">
        <v>553</v>
      </c>
      <c r="B256" s="8" t="inlineStr">
        <is>
          <t>Racial</t>
        </is>
      </c>
      <c r="C256" s="8" t="inlineStr">
        <is>
          <t>Spojení se zemí</t>
        </is>
      </c>
      <c r="D256" s="8" t="n">
        <v>5</v>
      </c>
      <c r="E256" s="8" t="inlineStr">
        <is>
          <t>CP</t>
        </is>
      </c>
      <c r="F256" s="9" t="inlineStr">
        <is>
          <t>Ornerai; Škola Země I</t>
        </is>
      </c>
      <c r="G256" s="9" t="inlineStr">
        <is>
          <t>Všechna kouzla Školy Země mají o +3% větší šanci na Kritický úspěch a bonus +3 do Kritického rozsahu.</t>
        </is>
      </c>
    </row>
    <row r="257">
      <c r="A257" s="8" t="n">
        <v>555</v>
      </c>
      <c r="B257" s="8" t="inlineStr">
        <is>
          <t>Racial</t>
        </is>
      </c>
      <c r="C257" s="8" t="inlineStr">
        <is>
          <t>Vodní tanec</t>
        </is>
      </c>
      <c r="D257" s="8" t="n">
        <v>10</v>
      </c>
      <c r="E257" s="8" t="inlineStr">
        <is>
          <t>SP</t>
        </is>
      </c>
      <c r="F257" s="9" t="inlineStr">
        <is>
          <t>Zephyrai</t>
        </is>
      </c>
      <c r="G257" s="9" t="inlineStr">
        <is>
          <t>Rychlejší plavání, Výhoda na plavání a schopnost chodit po klidné hladině.</t>
        </is>
      </c>
    </row>
    <row r="258">
      <c r="A258" s="8" t="n">
        <v>557</v>
      </c>
      <c r="B258" s="8" t="inlineStr">
        <is>
          <t>Racial</t>
        </is>
      </c>
      <c r="C258" s="8" t="inlineStr">
        <is>
          <t>Klidná hladina</t>
        </is>
      </c>
      <c r="D258" s="8" t="n">
        <v>15</v>
      </c>
      <c r="E258" s="8" t="inlineStr">
        <is>
          <t>SP</t>
        </is>
      </c>
      <c r="F258" s="9" t="inlineStr">
        <is>
          <t>Zephyrai</t>
        </is>
      </c>
      <c r="G258" s="9" t="inlineStr">
        <is>
          <t>Nervy +1 je-li v blízkosti vodní tok, větší vodní plocha nebo je pod efektem Mokrý. Vzdálenost 250m nebo na dohled.</t>
        </is>
      </c>
    </row>
    <row r="259">
      <c r="A259" s="8" t="n">
        <v>559</v>
      </c>
      <c r="B259" s="8" t="inlineStr">
        <is>
          <t>Racial</t>
        </is>
      </c>
      <c r="C259" s="8" t="inlineStr">
        <is>
          <t>Dar Calistei</t>
        </is>
      </c>
      <c r="D259" s="8" t="n">
        <v>10</v>
      </c>
      <c r="E259" s="8" t="inlineStr">
        <is>
          <t>SP</t>
        </is>
      </c>
      <c r="F259" s="9" t="inlineStr">
        <is>
          <t>Zephyrai; Vnímání 4</t>
        </is>
      </c>
      <c r="G259" s="9" t="inlineStr">
        <is>
          <t>Je schopen rozpoznat otrávené nebo zkažené kapaliny.</t>
        </is>
      </c>
    </row>
    <row r="260">
      <c r="A260" s="8" t="n">
        <v>561</v>
      </c>
      <c r="B260" s="8" t="inlineStr">
        <is>
          <t>Racial</t>
        </is>
      </c>
      <c r="C260" s="8" t="inlineStr">
        <is>
          <t>Mořský dech</t>
        </is>
      </c>
      <c r="D260" s="8" t="n">
        <v>30</v>
      </c>
      <c r="E260" s="8" t="inlineStr">
        <is>
          <t>SP</t>
        </is>
      </c>
      <c r="F260" s="9" t="inlineStr">
        <is>
          <t>Zephyrai; Odolnost 4</t>
        </is>
      </c>
      <c r="G260" s="9" t="inlineStr">
        <is>
          <t>Bonus +10% do Pijáctví, může 1x za den opakovat hod na Pijáctví. Toxicita +10</t>
        </is>
      </c>
    </row>
    <row r="261">
      <c r="A261" s="8" t="n">
        <v>563</v>
      </c>
      <c r="B261" s="8" t="inlineStr">
        <is>
          <t>Racial</t>
        </is>
      </c>
      <c r="C261" s="8" t="inlineStr">
        <is>
          <t>Spojení s vodou</t>
        </is>
      </c>
      <c r="D261" s="8" t="n">
        <v>5</v>
      </c>
      <c r="E261" s="8" t="inlineStr">
        <is>
          <t>CP</t>
        </is>
      </c>
      <c r="F261" s="9" t="inlineStr">
        <is>
          <t>Zephyrai; Škola Vody I</t>
        </is>
      </c>
      <c r="G261" s="9" t="inlineStr">
        <is>
          <t>Všechna kouzla Školy Vody mají o +3% větší šanci na Kritický úspěch a bonus +3 do Kritického rozsahu.</t>
        </is>
      </c>
    </row>
    <row r="262">
      <c r="A262" s="8" t="n">
        <v>565</v>
      </c>
      <c r="B262" s="8" t="inlineStr">
        <is>
          <t>Racial</t>
        </is>
      </c>
      <c r="C262" s="8" t="inlineStr">
        <is>
          <t>Pohled slunce</t>
        </is>
      </c>
      <c r="D262" s="8" t="n">
        <v>10</v>
      </c>
      <c r="E262" s="8" t="inlineStr">
        <is>
          <t>SP</t>
        </is>
      </c>
      <c r="F262" s="9" t="inlineStr">
        <is>
          <t>Ikarai; Vnímání 4</t>
        </is>
      </c>
      <c r="G262" s="9" t="inlineStr">
        <is>
          <t>Šance 65% na imunitu proti Oslepení založeném na světle.</t>
        </is>
      </c>
    </row>
    <row r="263">
      <c r="A263" s="8" t="n">
        <v>567</v>
      </c>
      <c r="B263" s="8" t="inlineStr">
        <is>
          <t>Racial</t>
        </is>
      </c>
      <c r="C263" s="8" t="inlineStr">
        <is>
          <t>Dotek slunce</t>
        </is>
      </c>
      <c r="D263" s="8" t="n">
        <v>10</v>
      </c>
      <c r="E263" s="8" t="inlineStr">
        <is>
          <t>CP</t>
        </is>
      </c>
      <c r="F263" s="9" t="inlineStr">
        <is>
          <t>Ikarai; Škola Ohně VII/Akolyta</t>
        </is>
      </c>
      <c r="G263" s="9" t="inlineStr">
        <is>
          <t>Všechna kouzla Školy Ohně mají šanci 10/15/30/50% (Podle stupně kouzla) na Oslepení na jedno kolo. Všechny zázraky Domény Ohně mají šanci 15/30/50% (Podle stupně zázraku) na Oslepení na jedno kolo.</t>
        </is>
      </c>
    </row>
    <row r="264">
      <c r="A264" s="8" t="n">
        <v>569</v>
      </c>
      <c r="B264" s="8" t="inlineStr">
        <is>
          <t>Racial</t>
        </is>
      </c>
      <c r="C264" s="8" t="inlineStr">
        <is>
          <t>Vznešená mluva</t>
        </is>
      </c>
      <c r="D264" s="8" t="n">
        <v>10</v>
      </c>
      <c r="E264" s="8" t="inlineStr">
        <is>
          <t>SP</t>
        </is>
      </c>
      <c r="F264" s="9" t="inlineStr">
        <is>
          <t>Ikarai; Charisma 4</t>
        </is>
      </c>
      <c r="G264" s="9" t="inlineStr">
        <is>
          <t>Bonus +3% na Přesvědčování, může 1x za den opakovat hod na Přesvědčování.</t>
        </is>
      </c>
    </row>
    <row r="265">
      <c r="A265" s="8" t="n">
        <v>571</v>
      </c>
      <c r="B265" s="8" t="inlineStr">
        <is>
          <t>Racial</t>
        </is>
      </c>
      <c r="C265" s="8" t="inlineStr">
        <is>
          <t>Spravedlivý zápal</t>
        </is>
      </c>
      <c r="D265" s="8" t="n">
        <v>20</v>
      </c>
      <c r="E265" s="8" t="inlineStr">
        <is>
          <t>CP</t>
        </is>
      </c>
      <c r="F265" s="9" t="inlineStr">
        <is>
          <t>Ikarai; Víra 6</t>
        </is>
      </c>
      <c r="G265" s="9" t="inlineStr">
        <is>
          <t>Síla zázraku +2 a +5 Svaté energie.</t>
        </is>
      </c>
    </row>
    <row r="266">
      <c r="A266" s="8" t="n">
        <v>573</v>
      </c>
      <c r="B266" s="8" t="inlineStr">
        <is>
          <t>Racial</t>
        </is>
      </c>
      <c r="C266" s="8" t="inlineStr">
        <is>
          <t>Spojení s ohněm</t>
        </is>
      </c>
      <c r="D266" s="8" t="n">
        <v>5</v>
      </c>
      <c r="E266" s="8" t="inlineStr">
        <is>
          <t>CP</t>
        </is>
      </c>
      <c r="F266" s="9" t="inlineStr">
        <is>
          <t>Ikarai; Škola Ohně I</t>
        </is>
      </c>
      <c r="G266" s="9" t="inlineStr">
        <is>
          <t>Všechna kouzla Školy Ohně mají o +3% větší šanci na Kritický úspěch a bonus +3 do Kritického rozsahu.</t>
        </is>
      </c>
    </row>
    <row r="267">
      <c r="A267" s="8" t="n">
        <v>575</v>
      </c>
      <c r="B267" s="8" t="inlineStr">
        <is>
          <t>Racial</t>
        </is>
      </c>
      <c r="C267" s="8" t="inlineStr">
        <is>
          <t>Krutá povaha</t>
        </is>
      </c>
      <c r="D267" s="8" t="n">
        <v>10</v>
      </c>
      <c r="E267" s="8" t="inlineStr">
        <is>
          <t>SP</t>
        </is>
      </c>
      <c r="F267" s="9" t="inlineStr">
        <is>
          <t>Mornerai</t>
        </is>
      </c>
      <c r="G267" s="9" t="inlineStr">
        <is>
          <t>Jednou za den má šanci 20% na zbavení se bodu šílenství, pokud někoho mučí (Nevztahuje se na souboj). Pokud se úspěšně zbaví bodu, může z dalšího mučení benefitovat až za deset dní.</t>
        </is>
      </c>
    </row>
    <row r="268">
      <c r="A268" s="8" t="n">
        <v>577</v>
      </c>
      <c r="B268" s="8" t="inlineStr">
        <is>
          <t>Racial</t>
        </is>
      </c>
      <c r="C268" s="8" t="inlineStr">
        <is>
          <t>Vrozená zákeřnost</t>
        </is>
      </c>
      <c r="D268" s="8" t="n">
        <v>10</v>
      </c>
      <c r="E268" s="8" t="inlineStr">
        <is>
          <t>CP</t>
        </is>
      </c>
      <c r="F268" s="9" t="inlineStr">
        <is>
          <t>Mornerai; Doktrína I</t>
        </is>
      </c>
      <c r="G268" s="9" t="inlineStr">
        <is>
          <t>Zákeřný útok způsobuje dodatečných 2d6 zranění.</t>
        </is>
      </c>
    </row>
    <row r="269">
      <c r="A269" s="8" t="n">
        <v>579</v>
      </c>
      <c r="B269" s="8" t="inlineStr">
        <is>
          <t>Racial</t>
        </is>
      </c>
      <c r="C269" s="8" t="inlineStr">
        <is>
          <t>Prohloubená nenávist</t>
        </is>
      </c>
      <c r="D269" s="8" t="n">
        <v>15</v>
      </c>
      <c r="E269" s="8" t="inlineStr">
        <is>
          <t>CP</t>
        </is>
      </c>
      <c r="F269" s="9" t="inlineStr">
        <is>
          <t>Mornerai</t>
        </is>
      </c>
      <c r="G269" s="9" t="inlineStr">
        <is>
          <t>Je-li aktivována Temná nenávist, zvyšuje se Síla kouzla Školy Temnoty o +1 a navíc může obětovat 1 reakci za kolo, aby získal Útok +1.</t>
        </is>
      </c>
    </row>
    <row r="270">
      <c r="A270" s="8" t="n">
        <v>581</v>
      </c>
      <c r="B270" s="8" t="inlineStr">
        <is>
          <t>Racial</t>
        </is>
      </c>
      <c r="C270" s="8" t="inlineStr">
        <is>
          <t>Temné pokušení</t>
        </is>
      </c>
      <c r="D270" s="8" t="n">
        <v>10</v>
      </c>
      <c r="E270" s="8" t="inlineStr">
        <is>
          <t>SP</t>
        </is>
      </c>
      <c r="F270" s="9" t="inlineStr">
        <is>
          <t>Mornerai; Hříšnost 3</t>
        </is>
      </c>
      <c r="G270" s="9" t="inlineStr">
        <is>
          <t>Může 1x za den opakovat hod týkající se Hříšnosti.</t>
        </is>
      </c>
    </row>
    <row r="271">
      <c r="A271" s="8" t="n">
        <v>583</v>
      </c>
      <c r="B271" s="8" t="inlineStr">
        <is>
          <t>Racial</t>
        </is>
      </c>
      <c r="C271" s="8" t="inlineStr">
        <is>
          <t>Spojení s Temnotou</t>
        </is>
      </c>
      <c r="D271" s="8" t="n">
        <v>25</v>
      </c>
      <c r="E271" s="8" t="inlineStr">
        <is>
          <t>SP</t>
        </is>
      </c>
      <c r="F271" s="9" t="inlineStr">
        <is>
          <t>Mornerai</t>
        </is>
      </c>
      <c r="G271" s="9" t="inlineStr">
        <is>
          <t>Zvyšuje spodní hranici 4. stupně Korupce o 20.</t>
        </is>
      </c>
    </row>
    <row r="272">
      <c r="A272" s="8" t="n">
        <v>585</v>
      </c>
      <c r="B272" s="8" t="inlineStr">
        <is>
          <t>Racial</t>
        </is>
      </c>
      <c r="C272" s="8" t="inlineStr">
        <is>
          <t>Žizeň po krvi I</t>
        </is>
      </c>
      <c r="D272" s="8" t="n">
        <v>10</v>
      </c>
      <c r="E272" s="8" t="inlineStr">
        <is>
          <t>CP</t>
        </is>
      </c>
      <c r="F272" s="9" t="inlineStr">
        <is>
          <t>Kernerai; Zbraň IV</t>
        </is>
      </c>
      <c r="G272" s="9" t="inlineStr">
        <is>
          <t>Zvyšuje šanci na způsobení Krvácení o +5%. Při Krvežíznivosti se šance na způsobení Krvácení zvyšuje o dalších +10%.</t>
        </is>
      </c>
    </row>
    <row r="273">
      <c r="A273" s="8" t="n">
        <v>587</v>
      </c>
      <c r="B273" s="8" t="inlineStr">
        <is>
          <t>Racial</t>
        </is>
      </c>
      <c r="C273" s="8" t="inlineStr">
        <is>
          <t>Žízeň po krvi II</t>
        </is>
      </c>
      <c r="D273" s="8" t="n">
        <v>20</v>
      </c>
      <c r="E273" s="8" t="inlineStr">
        <is>
          <t>CP</t>
        </is>
      </c>
      <c r="F273" s="9" t="inlineStr">
        <is>
          <t>Kernerai; Žizeň po krvi I</t>
        </is>
      </c>
      <c r="G273" s="9" t="inlineStr">
        <is>
          <t>Krvežíznivost zvyšuje Kritický rozsah o +1 a zranění (Souboj) o +1d6. Útok navíc za Krvežíznivost nadále nemá postih na Zásah.</t>
        </is>
      </c>
    </row>
    <row r="274">
      <c r="A274" s="8" t="n">
        <v>589</v>
      </c>
      <c r="B274" s="8" t="inlineStr">
        <is>
          <t>Racial</t>
        </is>
      </c>
      <c r="C274" s="8" t="inlineStr">
        <is>
          <t>Brutalita</t>
        </is>
      </c>
      <c r="D274" s="8" t="n">
        <v>10</v>
      </c>
      <c r="E274" s="8" t="inlineStr">
        <is>
          <t>CP</t>
        </is>
      </c>
      <c r="F274" s="9" t="inlineStr">
        <is>
          <t>Kernerai</t>
        </is>
      </c>
      <c r="G274" s="9" t="inlineStr">
        <is>
          <t>Zabije-li nepřítele Kritickým zásahem 4. stupně, získává 1 akci. Za kolo lze benefitovat pouze jednou.</t>
        </is>
      </c>
    </row>
    <row r="275">
      <c r="A275" s="8" t="n">
        <v>591</v>
      </c>
      <c r="B275" s="8" t="inlineStr">
        <is>
          <t>Racial</t>
        </is>
      </c>
      <c r="C275" s="8" t="inlineStr">
        <is>
          <t>Hlad po krvi</t>
        </is>
      </c>
      <c r="D275" s="8" t="n">
        <v>20</v>
      </c>
      <c r="E275" s="8" t="inlineStr">
        <is>
          <t>SP</t>
        </is>
      </c>
      <c r="F275" s="9" t="inlineStr">
        <is>
          <t>Kernerai; Odolnost 4</t>
        </is>
      </c>
      <c r="G275" s="9" t="inlineStr">
        <is>
          <t>Věštění za pomocí krve poskytuje Výhodu. Krev může nahrazovat vodu coby požadavek na přežití. Konzumace srdce urychlí léčení VZ o 5 dnů.</t>
        </is>
      </c>
    </row>
    <row r="276">
      <c r="A276" s="8" t="n">
        <v>593</v>
      </c>
      <c r="B276" s="8" t="inlineStr">
        <is>
          <t>Racial</t>
        </is>
      </c>
      <c r="C276" s="8" t="inlineStr">
        <is>
          <t>Přivítání smrti</t>
        </is>
      </c>
      <c r="D276" s="8" t="n">
        <v>30</v>
      </c>
      <c r="E276" s="8" t="inlineStr">
        <is>
          <t>SP</t>
        </is>
      </c>
      <c r="F276" s="9" t="inlineStr">
        <is>
          <t>Kernerai</t>
        </is>
      </c>
      <c r="G276" s="9" t="inlineStr">
        <is>
          <t>Ocitne-li se v souboji na Pokraji smrti, nemůže získat bod šílenství, naopak má šanci 30% na zbavení se bodu šílenství. Takto se znovu zbavit bodu šílenství může až tehdy, až si vyléčí všechna Vážná zranění.</t>
        </is>
      </c>
    </row>
    <row r="277">
      <c r="A277" s="8" t="n">
        <v>595</v>
      </c>
      <c r="B277" s="8" t="inlineStr">
        <is>
          <t>Racial</t>
        </is>
      </c>
      <c r="C277" s="8" t="inlineStr">
        <is>
          <t>Magická expertíza</t>
        </is>
      </c>
      <c r="D277" s="8" t="n">
        <v>10</v>
      </c>
      <c r="E277" s="8" t="inlineStr">
        <is>
          <t>CP</t>
        </is>
      </c>
      <c r="F277" s="9" t="inlineStr">
        <is>
          <t>Arenai; Expertní Škola (VI)</t>
        </is>
      </c>
      <c r="G277" s="9" t="inlineStr">
        <is>
          <t>Úspěšná magická obrana (Usměrňování) nestojí žádnou manu. Zvyšuje zranění útočných Učednických kouzel o +5.</t>
        </is>
      </c>
    </row>
    <row r="278">
      <c r="A278" s="8" t="n">
        <v>597</v>
      </c>
      <c r="B278" s="8" t="inlineStr">
        <is>
          <t>Racial</t>
        </is>
      </c>
      <c r="C278" s="8" t="inlineStr">
        <is>
          <t>Vznešená autorita</t>
        </is>
      </c>
      <c r="D278" s="8" t="n">
        <v>15</v>
      </c>
      <c r="E278" s="8" t="inlineStr">
        <is>
          <t>SP</t>
        </is>
      </c>
      <c r="F278" s="9" t="inlineStr">
        <is>
          <t>Arenai; Velení I</t>
        </is>
      </c>
      <c r="G278" s="9" t="inlineStr">
        <is>
          <t>Bonus +5% do Velení, může 1x za den opakovat hod na Velení.</t>
        </is>
      </c>
    </row>
    <row r="279">
      <c r="A279" s="8" t="n">
        <v>599</v>
      </c>
      <c r="B279" s="8" t="inlineStr">
        <is>
          <t>Racial</t>
        </is>
      </c>
      <c r="C279" s="8" t="inlineStr">
        <is>
          <t>Dar magie</t>
        </is>
      </c>
      <c r="D279" s="8" t="n">
        <v>5</v>
      </c>
      <c r="E279" s="8" t="inlineStr">
        <is>
          <t>CP</t>
        </is>
      </c>
      <c r="F279" s="9" t="inlineStr">
        <is>
          <t>Arenai; Doktrína IV</t>
        </is>
      </c>
      <c r="G279" s="9" t="inlineStr">
        <is>
          <t>Je-li napojený na Zdroj, zvyšuje se Vzhled o +1 a získává bonus na Zastrašování +10% a na Souboj a Střelbu +3%</t>
        </is>
      </c>
    </row>
    <row r="280">
      <c r="A280" s="8" t="n">
        <v>601</v>
      </c>
      <c r="B280" s="8" t="inlineStr">
        <is>
          <t>Racial</t>
        </is>
      </c>
      <c r="C280" s="8" t="inlineStr">
        <is>
          <t>Kontrolovaný chaos</t>
        </is>
      </c>
      <c r="D280" s="8" t="n">
        <v>10</v>
      </c>
      <c r="E280" s="8" t="inlineStr">
        <is>
          <t>SP</t>
        </is>
      </c>
      <c r="F280" s="9" t="inlineStr">
        <is>
          <t>Arenai; Usměrňování III</t>
        </is>
      </c>
      <c r="G280" s="9" t="inlineStr">
        <is>
          <t>Šance +2% na Kritický úspěch na Usměrňování. Při kritickém neúspěchu Usměrňování si může hodit 1d100 na snížení (1-50) nebo na zvýšení (51-100) o jeden stupeň.</t>
        </is>
      </c>
    </row>
    <row r="281">
      <c r="A281" s="8" t="n">
        <v>603</v>
      </c>
      <c r="B281" s="8" t="inlineStr">
        <is>
          <t>Racial</t>
        </is>
      </c>
      <c r="C281" s="8" t="inlineStr">
        <is>
          <t>Spojení s magií</t>
        </is>
      </c>
      <c r="D281" s="8" t="n">
        <v>15</v>
      </c>
      <c r="E281" s="8" t="inlineStr">
        <is>
          <t>CP</t>
        </is>
      </c>
      <c r="F281" s="9" t="inlineStr">
        <is>
          <t>Arenai; Usměrňování I</t>
        </is>
      </c>
      <c r="G281" s="9" t="inlineStr">
        <is>
          <t>Zvolí si libovolnou Školu (Kromě Temnoty a Krve), do které získává Sílu kouzla +2 a bonus +3 do Kritického rozsahu.</t>
        </is>
      </c>
    </row>
    <row r="282">
      <c r="A282" s="8" t="n">
        <v>606</v>
      </c>
      <c r="B282" s="8" t="inlineStr">
        <is>
          <t>Racial</t>
        </is>
      </c>
      <c r="C282" s="8" t="inlineStr">
        <is>
          <t>Pulčické štěstí</t>
        </is>
      </c>
      <c r="D282" s="8" t="n">
        <v>30</v>
      </c>
      <c r="E282" s="8" t="inlineStr">
        <is>
          <t>SP</t>
        </is>
      </c>
      <c r="F282" s="9" t="inlineStr">
        <is>
          <t>Půlčík; Štěstí 2</t>
        </is>
      </c>
      <c r="G282" s="9" t="inlineStr">
        <is>
          <t>Možnost opakovat libovolný hod za rasu je možno využít i na kritická selhání. V takovém případě lze znovu opakovat hod až za 7 dní.</t>
        </is>
      </c>
    </row>
    <row r="283">
      <c r="A283" s="8" t="n">
        <v>608</v>
      </c>
      <c r="B283" s="8" t="inlineStr">
        <is>
          <t>Racial</t>
        </is>
      </c>
      <c r="C283" s="8" t="inlineStr">
        <is>
          <t>Pulčická zákeřnost</t>
        </is>
      </c>
      <c r="D283" s="8" t="n">
        <v>5</v>
      </c>
      <c r="E283" s="8" t="inlineStr">
        <is>
          <t>CP</t>
        </is>
      </c>
      <c r="F283" s="9" t="inlineStr">
        <is>
          <t>Půlčík; Doktrína IV</t>
        </is>
      </c>
      <c r="G283" s="9" t="inlineStr">
        <is>
          <t>Zákeřný útok způsobuje dodatečných 1d6 zranění. Útoky na nohy nemají postih do Souboje za cílení na nohy.</t>
        </is>
      </c>
    </row>
    <row r="284">
      <c r="A284" s="8" t="n">
        <v>610</v>
      </c>
      <c r="B284" s="8" t="inlineStr">
        <is>
          <t>Racial</t>
        </is>
      </c>
      <c r="C284" s="8" t="inlineStr">
        <is>
          <t>Ladný krok</t>
        </is>
      </c>
      <c r="D284" s="8" t="n">
        <v>5</v>
      </c>
      <c r="E284" s="8" t="inlineStr">
        <is>
          <t>CP</t>
        </is>
      </c>
      <c r="F284" s="9" t="inlineStr">
        <is>
          <t>Půlčík; Obratnost 4</t>
        </is>
      </c>
      <c r="G284" s="9" t="inlineStr">
        <is>
          <t>Umožňuje volný pohyb skrze hexy okupované spojenci, bez nutnosti využití Reakce ze strany spojenců.</t>
        </is>
      </c>
    </row>
    <row r="285">
      <c r="A285" s="8" t="n">
        <v>612</v>
      </c>
      <c r="B285" s="8" t="inlineStr">
        <is>
          <t>Racial</t>
        </is>
      </c>
      <c r="C285" s="8" t="inlineStr">
        <is>
          <t>Radost z jídla</t>
        </is>
      </c>
      <c r="D285" s="8" t="n">
        <v>10</v>
      </c>
      <c r="E285" s="8" t="inlineStr">
        <is>
          <t>SP</t>
        </is>
      </c>
      <c r="F285" s="9" t="inlineStr">
        <is>
          <t>Půlčík</t>
        </is>
      </c>
      <c r="G285" s="9" t="inlineStr">
        <is>
          <t>Šance na zbavení se bodu šílenství skrze jídlo zvýšena o 5% a skrze alkohol o 4%.</t>
        </is>
      </c>
    </row>
    <row r="286">
      <c r="A286" s="8" t="n">
        <v>614</v>
      </c>
      <c r="B286" s="8" t="inlineStr">
        <is>
          <t>Racial</t>
        </is>
      </c>
      <c r="C286" s="8" t="inlineStr">
        <is>
          <t>Štamgast</t>
        </is>
      </c>
      <c r="D286" s="8" t="n">
        <v>20</v>
      </c>
      <c r="E286" s="8" t="inlineStr">
        <is>
          <t>SP</t>
        </is>
      </c>
      <c r="F286" s="9" t="inlineStr">
        <is>
          <t>Půlčík; Pijáctví I</t>
        </is>
      </c>
      <c r="G286" s="9" t="inlineStr">
        <is>
          <t>Bonus +5% do Pijáctví, může 1x za den opakovat hod na Pijáctví.</t>
        </is>
      </c>
    </row>
    <row r="287">
      <c r="A287" s="8" t="n">
        <v>616</v>
      </c>
      <c r="B287" s="8" t="inlineStr">
        <is>
          <t>Racial</t>
        </is>
      </c>
      <c r="C287" s="8" t="inlineStr">
        <is>
          <t>Hbité prsty</t>
        </is>
      </c>
      <c r="D287" s="8" t="n">
        <v>15</v>
      </c>
      <c r="E287" s="8" t="inlineStr">
        <is>
          <t>SP</t>
        </is>
      </c>
      <c r="F287" s="9" t="inlineStr">
        <is>
          <t>Půlčík; Kapsářství I</t>
        </is>
      </c>
      <c r="G287" s="9" t="inlineStr">
        <is>
          <t>Bonus +5% do Kapsářství, může 1x za den opakovat hod na Kapsářství.</t>
        </is>
      </c>
    </row>
    <row r="288">
      <c r="A288" s="8" t="n">
        <v>618</v>
      </c>
      <c r="B288" s="8" t="inlineStr">
        <is>
          <t>Racial</t>
        </is>
      </c>
      <c r="C288" s="8" t="inlineStr">
        <is>
          <t>Šikovné prsty</t>
        </is>
      </c>
      <c r="D288" s="8" t="n">
        <v>15</v>
      </c>
      <c r="E288" s="8" t="inlineStr">
        <is>
          <t>SP</t>
        </is>
      </c>
      <c r="F288" s="9" t="inlineStr">
        <is>
          <t>Půlčík; Odemykání zámků I</t>
        </is>
      </c>
      <c r="G288" s="9" t="inlineStr">
        <is>
          <t>Bonus +5% do Odemykání zámků, může 1x za den opakovat hod na Odemykání zámků.</t>
        </is>
      </c>
    </row>
    <row r="289">
      <c r="A289" s="8" t="n">
        <v>620</v>
      </c>
      <c r="B289" s="8" t="inlineStr">
        <is>
          <t>Racial</t>
        </is>
      </c>
      <c r="C289" s="8" t="inlineStr">
        <is>
          <t>Tichošlápek</t>
        </is>
      </c>
      <c r="D289" s="8" t="n">
        <v>20</v>
      </c>
      <c r="E289" s="8" t="inlineStr">
        <is>
          <t>SP</t>
        </is>
      </c>
      <c r="F289" s="9" t="inlineStr">
        <is>
          <t>Půlčík; Plížení I</t>
        </is>
      </c>
      <c r="G289" s="9" t="inlineStr">
        <is>
          <t>Snižuje šanci na Kritický neúspěch o 3% na Plížení. Může 1x za den opakovat hod Plížení.</t>
        </is>
      </c>
    </row>
    <row r="290">
      <c r="A290" s="8" t="n">
        <v>623</v>
      </c>
      <c r="B290" s="8" t="inlineStr">
        <is>
          <t>Racial</t>
        </is>
      </c>
      <c r="C290" s="8" t="inlineStr">
        <is>
          <t>Odolnost na jedy I</t>
        </is>
      </c>
      <c r="D290" s="8" t="n">
        <v>20</v>
      </c>
      <c r="E290" s="8" t="inlineStr">
        <is>
          <t>SP</t>
        </is>
      </c>
      <c r="F290" s="9" t="inlineStr">
        <is>
          <t>Argos; Odolnost 4</t>
        </is>
      </c>
      <c r="G290" s="9" t="inlineStr">
        <is>
          <t>Šance +50% na ignorování efektu jedu. Jedovaté Kz +5</t>
        </is>
      </c>
    </row>
    <row r="291">
      <c r="A291" s="8" t="n">
        <v>625</v>
      </c>
      <c r="B291" s="8" t="inlineStr">
        <is>
          <t>Racial</t>
        </is>
      </c>
      <c r="C291" s="8" t="inlineStr">
        <is>
          <t>Ještěří žaludek</t>
        </is>
      </c>
      <c r="D291" s="8" t="n">
        <v>0</v>
      </c>
      <c r="E291" s="8" t="inlineStr">
        <is>
          <t>SP</t>
        </is>
      </c>
      <c r="F291" s="9" t="inlineStr">
        <is>
          <t>Argos</t>
        </is>
      </c>
      <c r="G291" s="9" t="inlineStr">
        <is>
          <t>Konzumace syrového, zkaženého či obdobně nevhodného jídla nepřináší žádné negativní efekty.</t>
        </is>
      </c>
    </row>
    <row r="292">
      <c r="A292" s="8" t="n">
        <v>627</v>
      </c>
      <c r="B292" s="8" t="inlineStr">
        <is>
          <t>Racial</t>
        </is>
      </c>
      <c r="C292" s="8" t="inlineStr">
        <is>
          <t>Vrozená regenerace I</t>
        </is>
      </c>
      <c r="D292" s="8" t="n">
        <v>10</v>
      </c>
      <c r="E292" s="8" t="inlineStr">
        <is>
          <t>SP</t>
        </is>
      </c>
      <c r="F292" s="9" t="inlineStr">
        <is>
          <t>Argos; Odolnost 3</t>
        </is>
      </c>
      <c r="G292" s="9" t="inlineStr">
        <is>
          <t>Dlouhý odpočinek obnovuje o 50% více Životů.</t>
        </is>
      </c>
    </row>
    <row r="293">
      <c r="A293" s="8" t="n">
        <v>629</v>
      </c>
      <c r="B293" s="8" t="inlineStr">
        <is>
          <t>Racial</t>
        </is>
      </c>
      <c r="C293" s="8" t="inlineStr">
        <is>
          <t>Obojživelník</t>
        </is>
      </c>
      <c r="D293" s="8" t="n">
        <v>10</v>
      </c>
      <c r="E293" s="8" t="inlineStr">
        <is>
          <t>SP</t>
        </is>
      </c>
      <c r="F293" s="9" t="inlineStr">
        <is>
          <t>Varken</t>
        </is>
      </c>
      <c r="G293" s="9" t="inlineStr">
        <is>
          <t>Umožňuje dýchat pod vodou. Rychlost pohybu při Plavání je zvýšena o 1. Výhoda na Testy Plavání.</t>
        </is>
      </c>
    </row>
    <row r="294">
      <c r="A294" s="8" t="n">
        <v>631</v>
      </c>
      <c r="B294" s="8" t="inlineStr">
        <is>
          <t>Racial</t>
        </is>
      </c>
      <c r="C294" s="8" t="inlineStr">
        <is>
          <t>Ještěří agresivita</t>
        </is>
      </c>
      <c r="D294" s="8" t="n">
        <v>15</v>
      </c>
      <c r="E294" s="8" t="inlineStr">
        <is>
          <t>SP</t>
        </is>
      </c>
      <c r="F294" s="9" t="inlineStr">
        <is>
          <t>Varken</t>
        </is>
      </c>
      <c r="G294" s="9" t="inlineStr">
        <is>
          <t>Bonus +20% na Testy týkající se bolesti.</t>
        </is>
      </c>
    </row>
    <row r="295">
      <c r="A295" s="8" t="n">
        <v>633</v>
      </c>
      <c r="B295" s="8" t="inlineStr">
        <is>
          <t>Racial</t>
        </is>
      </c>
      <c r="C295" s="8" t="inlineStr">
        <is>
          <t>Hadí mrštnost</t>
        </is>
      </c>
      <c r="D295" s="8" t="n">
        <v>15</v>
      </c>
      <c r="E295" s="8" t="inlineStr">
        <is>
          <t>SP</t>
        </is>
      </c>
      <c r="F295" s="9" t="inlineStr">
        <is>
          <t>Varken; Akrobacie I</t>
        </is>
      </c>
      <c r="G295" s="9" t="inlineStr">
        <is>
          <t>Bonus +5% do Akrobacie, může 1x za den opakovat hod na Akrobacii.</t>
        </is>
      </c>
    </row>
    <row r="296">
      <c r="A296" s="8" t="n">
        <v>635</v>
      </c>
      <c r="B296" s="8" t="inlineStr">
        <is>
          <t>Racial</t>
        </is>
      </c>
      <c r="C296" s="8" t="inlineStr">
        <is>
          <t>Vrozená regenerace II</t>
        </is>
      </c>
      <c r="D296" s="8" t="n">
        <v>10</v>
      </c>
      <c r="E296" s="8" t="inlineStr">
        <is>
          <t>SP</t>
        </is>
      </c>
      <c r="F296" s="9" t="inlineStr">
        <is>
          <t>Varken; Vrozená regenerace I</t>
        </is>
      </c>
      <c r="G296" s="9" t="inlineStr">
        <is>
          <t>Dlouhý odpočinek obnovuje o 50% více Životů.</t>
        </is>
      </c>
    </row>
    <row r="297">
      <c r="A297" s="8" t="n">
        <v>637</v>
      </c>
      <c r="B297" s="8" t="inlineStr">
        <is>
          <t>Racial</t>
        </is>
      </c>
      <c r="C297" s="8" t="inlineStr">
        <is>
          <t>Ještěří vytrvalost</t>
        </is>
      </c>
      <c r="D297" s="8" t="n">
        <v>5</v>
      </c>
      <c r="E297" s="8" t="inlineStr">
        <is>
          <t>CP</t>
        </is>
      </c>
      <c r="F297" s="9" t="inlineStr">
        <is>
          <t>Varken; Atletika IV</t>
        </is>
      </c>
      <c r="G297" s="9" t="inlineStr">
        <is>
          <t>Akce Oddech doplňuje o +1 více Výdrže. Výdrž +2</t>
        </is>
      </c>
    </row>
    <row r="298">
      <c r="A298" s="8" t="n">
        <v>639</v>
      </c>
      <c r="B298" s="8" t="inlineStr">
        <is>
          <t>Racial</t>
        </is>
      </c>
      <c r="C298" s="8" t="inlineStr">
        <is>
          <t>Odolnost na jedy II</t>
        </is>
      </c>
      <c r="D298" s="8" t="n">
        <v>20</v>
      </c>
      <c r="E298" s="8" t="inlineStr">
        <is>
          <t>SP</t>
        </is>
      </c>
      <c r="F298" s="9" t="inlineStr">
        <is>
          <t>Salazir; Odolnost na jedy I</t>
        </is>
      </c>
      <c r="G298" s="9" t="inlineStr">
        <is>
          <t>Šance +50% na ignorování efektu jedu. Jedovaté Kz +5</t>
        </is>
      </c>
    </row>
    <row r="299">
      <c r="A299" s="8" t="n">
        <v>641</v>
      </c>
      <c r="B299" s="8" t="inlineStr">
        <is>
          <t>Racial</t>
        </is>
      </c>
      <c r="C299" s="8" t="inlineStr">
        <is>
          <t>Hadí mrštnost</t>
        </is>
      </c>
      <c r="D299" s="8" t="n">
        <v>15</v>
      </c>
      <c r="E299" s="8" t="inlineStr">
        <is>
          <t>SP</t>
        </is>
      </c>
      <c r="F299" s="9" t="inlineStr">
        <is>
          <t>Salazir; Akrobacie I</t>
        </is>
      </c>
      <c r="G299" s="9" t="inlineStr">
        <is>
          <t>Bonus +5% do Akrobacie, může 1x za den opakovat hod na Akrobacii.</t>
        </is>
      </c>
    </row>
    <row r="300">
      <c r="A300" s="8" t="n">
        <v>643</v>
      </c>
      <c r="B300" s="8" t="inlineStr">
        <is>
          <t>Racial</t>
        </is>
      </c>
      <c r="C300" s="8" t="inlineStr">
        <is>
          <t>Trpělivý lovec</t>
        </is>
      </c>
      <c r="D300" s="8" t="n">
        <v>15</v>
      </c>
      <c r="E300" s="8" t="inlineStr">
        <is>
          <t>SP</t>
        </is>
      </c>
      <c r="F300" s="9" t="inlineStr">
        <is>
          <t>Salazir; Plížení I</t>
        </is>
      </c>
      <c r="G300" s="9" t="inlineStr">
        <is>
          <t>Bonus +5% do Plížení, může 1x za den opakovat hod na Plížení.</t>
        </is>
      </c>
    </row>
    <row r="301">
      <c r="A301" s="8" t="n">
        <v>645</v>
      </c>
      <c r="B301" s="8" t="inlineStr">
        <is>
          <t>Racial</t>
        </is>
      </c>
      <c r="C301" s="8" t="inlineStr">
        <is>
          <t>Hadí zákeřnost</t>
        </is>
      </c>
      <c r="D301" s="8" t="n">
        <v>5</v>
      </c>
      <c r="E301" s="8" t="inlineStr">
        <is>
          <t>CP</t>
        </is>
      </c>
      <c r="F301" s="9" t="inlineStr">
        <is>
          <t>Salazir; Klamání I</t>
        </is>
      </c>
      <c r="G301" s="9" t="inlineStr">
        <is>
          <t>Bonus +3% na Klamání. Zákeřný útok způsobuje dodatečných 1d6 zranění.</t>
        </is>
      </c>
    </row>
    <row r="302">
      <c r="A302" s="8" t="n">
        <v>647</v>
      </c>
      <c r="B302" s="8" t="inlineStr">
        <is>
          <t>Racial</t>
        </is>
      </c>
      <c r="C302" s="8" t="inlineStr">
        <is>
          <t>Pohled hada</t>
        </is>
      </c>
      <c r="D302" s="8" t="n">
        <v>30</v>
      </c>
      <c r="E302" s="8" t="inlineStr">
        <is>
          <t>SP</t>
        </is>
      </c>
      <c r="F302" s="9" t="inlineStr">
        <is>
          <t>Salazir; Vůle 2</t>
        </is>
      </c>
      <c r="G302" s="9" t="inlineStr">
        <is>
          <t>Při očním kontaktu s cílem vzdáleným maximálně 9m může jako Volnou akci za jeden Mentální život vyvolat Test Vůle/Charismy (Bonus +5%) versus Test Vůle. Při úspěchu je cíl pod efektem Hypnóza, při neúspěchu získává postih -5% na Úspěch na tři tahy.</t>
        </is>
      </c>
    </row>
    <row r="303">
      <c r="A303" s="8" t="n">
        <v>649</v>
      </c>
      <c r="B303" s="8" t="inlineStr">
        <is>
          <t>Racial</t>
        </is>
      </c>
      <c r="C303" s="8" t="inlineStr">
        <is>
          <t>Pronikavý pohled</t>
        </is>
      </c>
      <c r="D303" s="8" t="n">
        <v>15</v>
      </c>
      <c r="E303" s="8" t="inlineStr">
        <is>
          <t>SP</t>
        </is>
      </c>
      <c r="F303" s="9" t="inlineStr">
        <is>
          <t>Kamshir; Vhled I</t>
        </is>
      </c>
      <c r="G303" s="9" t="inlineStr">
        <is>
          <t>Bonus +5% do Vhledu, může 1x za den opakovat hod na Vhled.</t>
        </is>
      </c>
    </row>
    <row r="304">
      <c r="A304" s="8" t="n">
        <v>651</v>
      </c>
      <c r="B304" s="8" t="inlineStr">
        <is>
          <t>Racial</t>
        </is>
      </c>
      <c r="C304" s="8" t="inlineStr">
        <is>
          <t>Mimikry I</t>
        </is>
      </c>
      <c r="D304" s="8" t="n">
        <v>15</v>
      </c>
      <c r="E304" s="8" t="inlineStr">
        <is>
          <t>SP</t>
        </is>
      </c>
      <c r="F304" s="9" t="inlineStr">
        <is>
          <t>Kamshir; Plížení IV</t>
        </is>
      </c>
      <c r="G304" s="9" t="inlineStr">
        <is>
          <t>Výhoda na Testy Plížení.</t>
        </is>
      </c>
    </row>
    <row r="305">
      <c r="A305" s="8" t="n">
        <v>653</v>
      </c>
      <c r="B305" s="8" t="inlineStr">
        <is>
          <t>Racial</t>
        </is>
      </c>
      <c r="C305" s="8" t="inlineStr">
        <is>
          <t>Mimikry II</t>
        </is>
      </c>
      <c r="D305" s="8" t="n">
        <v>20</v>
      </c>
      <c r="E305" s="8" t="inlineStr">
        <is>
          <t>SP</t>
        </is>
      </c>
      <c r="F305" s="9" t="inlineStr">
        <is>
          <t>Kamshir; Mimikry I</t>
        </is>
      </c>
      <c r="G305" s="9" t="inlineStr">
        <is>
          <t>Umožňuje kůži splývat s okolím, pohyb přeruší efekt. Přizpůsobení se okolí vyžaduje dvě akce.</t>
        </is>
      </c>
    </row>
    <row r="306">
      <c r="A306" s="8" t="n">
        <v>655</v>
      </c>
      <c r="B306" s="8" t="inlineStr">
        <is>
          <t>Racial</t>
        </is>
      </c>
      <c r="C306" s="8" t="inlineStr">
        <is>
          <t>Dar Azikela</t>
        </is>
      </c>
      <c r="D306" s="8" t="n">
        <v>10</v>
      </c>
      <c r="E306" s="8" t="inlineStr">
        <is>
          <t>CP</t>
        </is>
      </c>
      <c r="F306" s="9" t="inlineStr">
        <is>
          <t>Kamshir; Usměrňování III</t>
        </is>
      </c>
      <c r="G306" s="9" t="inlineStr">
        <is>
          <t>Základ many +2 a snížení obtížnosti kouzel o -5%</t>
        </is>
      </c>
    </row>
    <row r="307">
      <c r="A307" s="8" t="n">
        <v>657</v>
      </c>
      <c r="B307" s="8" t="inlineStr">
        <is>
          <t>Racial</t>
        </is>
      </c>
      <c r="C307" s="8" t="inlineStr">
        <is>
          <t>Ještěří šplh</t>
        </is>
      </c>
      <c r="D307" s="8" t="n">
        <v>30</v>
      </c>
      <c r="E307" s="8" t="inlineStr">
        <is>
          <t>SP</t>
        </is>
      </c>
      <c r="F307" s="9" t="inlineStr">
        <is>
          <t>Kamshir; Atletika III</t>
        </is>
      </c>
      <c r="G307" s="9" t="inlineStr">
        <is>
          <t>Výhoda na Testy Šplhu. Umožňuje šplh po takřka libovolném povrchu.</t>
        </is>
      </c>
    </row>
    <row r="308">
      <c r="A308" s="8" t="n">
        <v>659</v>
      </c>
      <c r="B308" s="8" t="inlineStr">
        <is>
          <t>Racial</t>
        </is>
      </c>
      <c r="C308" s="8" t="inlineStr">
        <is>
          <t>Dračí výdrž</t>
        </is>
      </c>
      <c r="D308" s="8" t="n">
        <v>15</v>
      </c>
      <c r="E308" s="8" t="inlineStr">
        <is>
          <t>SP</t>
        </is>
      </c>
      <c r="F308" s="9" t="inlineStr">
        <is>
          <t>Draconid; Svalovec I</t>
        </is>
      </c>
      <c r="G308" s="9" t="inlineStr">
        <is>
          <t>Bonus +3% do Síly, může 1x za den opakovat hod na Sílu.</t>
        </is>
      </c>
    </row>
    <row r="309">
      <c r="A309" s="8" t="n">
        <v>661</v>
      </c>
      <c r="B309" s="8" t="inlineStr">
        <is>
          <t>Racial</t>
        </is>
      </c>
      <c r="C309" s="8" t="inlineStr">
        <is>
          <t>Dračí odolnost</t>
        </is>
      </c>
      <c r="D309" s="8" t="n">
        <v>5</v>
      </c>
      <c r="E309" s="8" t="inlineStr">
        <is>
          <t>CP</t>
        </is>
      </c>
      <c r="F309" s="9" t="inlineStr">
        <is>
          <t>Draconid</t>
        </is>
      </c>
      <c r="G309" s="9" t="inlineStr">
        <is>
          <t>Získává Ohnivé/Ledové/Bleskové/Kyselinové Kz +6 podle svého zvoleného Dechu.</t>
        </is>
      </c>
    </row>
    <row r="310">
      <c r="A310" s="8" t="n">
        <v>663</v>
      </c>
      <c r="B310" s="8" t="inlineStr">
        <is>
          <t>Racial</t>
        </is>
      </c>
      <c r="C310" s="8" t="inlineStr">
        <is>
          <t>Dračí šupiny</t>
        </is>
      </c>
      <c r="D310" s="8" t="n">
        <v>15</v>
      </c>
      <c r="E310" s="8" t="inlineStr">
        <is>
          <t>CP</t>
        </is>
      </c>
      <c r="F310" s="9" t="inlineStr">
        <is>
          <t>Draconid; Dračí odolnost</t>
        </is>
      </c>
      <c r="G310" s="9" t="inlineStr">
        <is>
          <t>Kz +3. Životy +5.</t>
        </is>
      </c>
    </row>
    <row r="311">
      <c r="A311" s="8" t="n">
        <v>665</v>
      </c>
      <c r="B311" s="8" t="inlineStr">
        <is>
          <t>Racial</t>
        </is>
      </c>
      <c r="C311" s="8" t="inlineStr">
        <is>
          <t>Dračí dech I</t>
        </is>
      </c>
      <c r="D311" s="8" t="n">
        <v>5</v>
      </c>
      <c r="E311" s="8" t="inlineStr">
        <is>
          <t>CP</t>
        </is>
      </c>
      <c r="F311" s="9" t="inlineStr">
        <is>
          <t>Draconid; Doktrína III</t>
        </is>
      </c>
      <c r="G311" s="9" t="inlineStr">
        <is>
          <t>Upravuje použití Dechu na jednou za 8-Odolnost kol. Dech lze nejčastěji použít jednou za dvě kola. Zvyšuje dosah o 1,5m.</t>
        </is>
      </c>
    </row>
    <row r="312">
      <c r="A312" s="8" t="n">
        <v>667</v>
      </c>
      <c r="B312" s="8" t="inlineStr">
        <is>
          <t>Racial</t>
        </is>
      </c>
      <c r="C312" s="8" t="inlineStr">
        <is>
          <t>Dračí dech II</t>
        </is>
      </c>
      <c r="D312" s="8" t="n">
        <v>15</v>
      </c>
      <c r="E312" s="8" t="inlineStr">
        <is>
          <t>CP</t>
        </is>
      </c>
      <c r="F312" s="9" t="inlineStr">
        <is>
          <t>Draconid; Dračí dech I; Doktrína V</t>
        </is>
      </c>
      <c r="G312" s="9" t="inlineStr">
        <is>
          <t>Zesiluje Draconidský dech. Ohnivý - Podpálení +15%, Průbojnost +6; Ledový - Zmražení +10%, Zpomalení +20%, Průbojnost +6; Bleskový - Omráčení +20%, Průbojnost +6; Kyselinový - Šance na snížení Kz +20%, zranění +2d6 pokud nemohl snížit Kz, Průbojnost +6.</t>
        </is>
      </c>
    </row>
    <row r="313">
      <c r="A313" s="8" t="n">
        <v>670</v>
      </c>
      <c r="B313" s="8" t="inlineStr">
        <is>
          <t>Racial</t>
        </is>
      </c>
      <c r="C313" s="8" t="inlineStr">
        <is>
          <t>Vrozená magie I</t>
        </is>
      </c>
      <c r="D313" s="8" t="n">
        <v>5</v>
      </c>
      <c r="E313" s="8" t="inlineStr">
        <is>
          <t>CP</t>
        </is>
      </c>
      <c r="F313" s="9" t="inlineStr">
        <is>
          <t>Cambion; Arcana V; Nesmí být Cambion Obžérství</t>
        </is>
      </c>
      <c r="G313" s="9" t="inlineStr">
        <is>
          <t>Vrozenou magii může použít Vůle*1+1krát za Dlouhý odpočinek.</t>
        </is>
      </c>
    </row>
    <row r="314">
      <c r="A314" s="8" t="n">
        <v>672</v>
      </c>
      <c r="B314" s="8" t="inlineStr">
        <is>
          <t>Racial</t>
        </is>
      </c>
      <c r="C314" s="8" t="inlineStr">
        <is>
          <t>Vrozená magie II</t>
        </is>
      </c>
      <c r="D314" s="8" t="n">
        <v>5</v>
      </c>
      <c r="E314" s="8" t="inlineStr">
        <is>
          <t>CP</t>
        </is>
      </c>
      <c r="F314" s="9" t="inlineStr">
        <is>
          <t>Cambion; Arcana VIII; Vrozená magie I</t>
        </is>
      </c>
      <c r="G314" s="9" t="inlineStr">
        <is>
          <t>Vrozená magie je rozšířena o kouzla Vějíř jisker, Spal jed a Ohnivý hrot. Může Vrozenou magii ve stejném tahu kombinovat se sesíláním, útoky nebo další Vrozenou magií.</t>
        </is>
      </c>
    </row>
    <row r="315">
      <c r="A315" s="8" t="n">
        <v>674</v>
      </c>
      <c r="B315" s="8" t="inlineStr">
        <is>
          <t>Racial</t>
        </is>
      </c>
      <c r="C315" s="8" t="inlineStr">
        <is>
          <t>Démonická krev</t>
        </is>
      </c>
      <c r="D315" s="8" t="n">
        <v>5</v>
      </c>
      <c r="E315" s="8" t="inlineStr">
        <is>
          <t>SP</t>
        </is>
      </c>
      <c r="F315" s="9" t="inlineStr">
        <is>
          <t>Cambion</t>
        </is>
      </c>
      <c r="G315" s="9" t="inlineStr">
        <is>
          <t>Každý den ztrácí o jednu Korupci více.</t>
        </is>
      </c>
    </row>
    <row r="316">
      <c r="A316" s="8" t="n">
        <v>676</v>
      </c>
      <c r="B316" s="8" t="inlineStr">
        <is>
          <t>Racial</t>
        </is>
      </c>
      <c r="C316" s="8" t="inlineStr">
        <is>
          <t>Netrpělivost</t>
        </is>
      </c>
      <c r="D316" s="8" t="n">
        <v>5</v>
      </c>
      <c r="E316" s="8" t="inlineStr">
        <is>
          <t>CP</t>
        </is>
      </c>
      <c r="F316" s="9" t="inlineStr">
        <is>
          <t>Cambion Hněvu</t>
        </is>
      </c>
      <c r="G316" s="9" t="inlineStr">
        <is>
          <t>Bonus +2 do Iniciativy.</t>
        </is>
      </c>
    </row>
    <row r="317">
      <c r="A317" s="8" t="n">
        <v>678</v>
      </c>
      <c r="B317" s="8" t="inlineStr">
        <is>
          <t>Racial</t>
        </is>
      </c>
      <c r="C317" s="8" t="inlineStr">
        <is>
          <t>Zuřivé plameny</t>
        </is>
      </c>
      <c r="D317" s="8" t="n">
        <v>5</v>
      </c>
      <c r="E317" s="8" t="inlineStr">
        <is>
          <t>CP</t>
        </is>
      </c>
      <c r="F317" s="9" t="inlineStr">
        <is>
          <t>Cambion Hněvu</t>
        </is>
      </c>
      <c r="G317" s="9" t="inlineStr">
        <is>
          <t>Kouzla Školy Ohně mají +10% šanci na Podpálení.</t>
        </is>
      </c>
    </row>
    <row r="318">
      <c r="A318" s="8" t="n">
        <v>680</v>
      </c>
      <c r="B318" s="8" t="inlineStr">
        <is>
          <t>Racial</t>
        </is>
      </c>
      <c r="C318" s="8" t="inlineStr">
        <is>
          <t>Démonická síla</t>
        </is>
      </c>
      <c r="D318" s="8" t="n">
        <v>15</v>
      </c>
      <c r="E318" s="8" t="inlineStr">
        <is>
          <t>SP</t>
        </is>
      </c>
      <c r="F318" s="9" t="inlineStr">
        <is>
          <t>Cambion Hněvu</t>
        </is>
      </c>
      <c r="G318" s="9" t="inlineStr">
        <is>
          <t>Bonus +5% do Síly, může 1x za den opakovat hod na Sílu.</t>
        </is>
      </c>
    </row>
    <row r="319">
      <c r="A319" s="8" t="n">
        <v>682</v>
      </c>
      <c r="B319" s="8" t="inlineStr">
        <is>
          <t>Racial</t>
        </is>
      </c>
      <c r="C319" s="8" t="inlineStr">
        <is>
          <t>Zběsilá magie</t>
        </is>
      </c>
      <c r="D319" s="8" t="n">
        <v>15</v>
      </c>
      <c r="E319" s="8" t="inlineStr">
        <is>
          <t>CP</t>
        </is>
      </c>
      <c r="F319" s="9" t="inlineStr">
        <is>
          <t>Cambion Hněvu</t>
        </is>
      </c>
      <c r="G319" s="9" t="inlineStr">
        <is>
          <t>Volná akce. Modifikuje Usměrňování nebo Vrozenou magii. Zvyšuje poškození ohněm o 50%, ale zvyšuje šanci na Kritický neúspěch o 5%. Nevztahuje se na Vrozenou magii, zázrak Nositel plamene a kouzla Ohnivý úder a Ohnivá zbraň.</t>
        </is>
      </c>
    </row>
    <row r="320">
      <c r="A320" s="8" t="n">
        <v>684</v>
      </c>
      <c r="B320" s="8" t="inlineStr">
        <is>
          <t>Racial</t>
        </is>
      </c>
      <c r="C320" s="8" t="inlineStr">
        <is>
          <t>Šikovné ruce</t>
        </is>
      </c>
      <c r="D320" s="8" t="n">
        <v>15</v>
      </c>
      <c r="E320" s="8" t="inlineStr">
        <is>
          <t>SP</t>
        </is>
      </c>
      <c r="F320" s="9" t="inlineStr">
        <is>
          <t>Cambion Chamtivosti</t>
        </is>
      </c>
      <c r="G320" s="9" t="inlineStr">
        <is>
          <t>Bonus +5% do Kapsářství a Odemykání zámků, může 1x za den opakovat hod na Kapsářství nebo Odemykání zámků.</t>
        </is>
      </c>
    </row>
    <row r="321">
      <c r="A321" s="8" t="n">
        <v>686</v>
      </c>
      <c r="B321" s="8" t="inlineStr">
        <is>
          <t>Racial</t>
        </is>
      </c>
      <c r="C321" s="8" t="inlineStr">
        <is>
          <t>Hlad po moci</t>
        </is>
      </c>
      <c r="D321" s="8" t="n">
        <v>5</v>
      </c>
      <c r="E321" s="8" t="inlineStr">
        <is>
          <t>CP</t>
        </is>
      </c>
      <c r="F321" s="9" t="inlineStr">
        <is>
          <t>Cambion Chamtivosti; Usměrňování I</t>
        </is>
      </c>
      <c r="G321" s="9" t="inlineStr">
        <is>
          <t>Získává bonus do Základu many podle své Hříšnosti.</t>
        </is>
      </c>
    </row>
    <row r="322">
      <c r="A322" s="8" t="n">
        <v>688</v>
      </c>
      <c r="B322" s="8" t="inlineStr">
        <is>
          <t>Racial</t>
        </is>
      </c>
      <c r="C322" s="8" t="inlineStr">
        <is>
          <t>Schránka na duše</t>
        </is>
      </c>
      <c r="D322" s="8" t="n">
        <v>15</v>
      </c>
      <c r="E322" s="8" t="inlineStr">
        <is>
          <t>SP</t>
        </is>
      </c>
      <c r="F322" s="9" t="inlineStr">
        <is>
          <t>Cambion Chamtivosti; Arcana IV</t>
        </is>
      </c>
      <c r="G322" s="9" t="inlineStr">
        <is>
          <t>Získává Označení duše coby Vrozenou magii. Může v sobě držet až dvě duše.</t>
        </is>
      </c>
    </row>
    <row r="323">
      <c r="A323" s="8" t="n">
        <v>690</v>
      </c>
      <c r="B323" s="8" t="inlineStr">
        <is>
          <t>Racial</t>
        </is>
      </c>
      <c r="C323" s="8" t="inlineStr">
        <is>
          <t>Nenasytná chamtivost</t>
        </is>
      </c>
      <c r="D323" s="8" t="n">
        <v>25</v>
      </c>
      <c r="E323" s="8" t="inlineStr">
        <is>
          <t>SP</t>
        </is>
      </c>
      <c r="F323" s="9" t="inlineStr">
        <is>
          <t>Cambion Chamtivosti</t>
        </is>
      </c>
      <c r="G323" s="9" t="inlineStr">
        <is>
          <t>Pokud má získat bod šílenství, může si místo toho zvýšit Hříšnost o 1. Nesmí však takto překročit Absolutní hranici.</t>
        </is>
      </c>
    </row>
    <row r="324">
      <c r="A324" s="8" t="n">
        <v>692</v>
      </c>
      <c r="B324" s="8" t="inlineStr">
        <is>
          <t>Racial</t>
        </is>
      </c>
      <c r="C324" s="8" t="inlineStr">
        <is>
          <t>Drogový maniak</t>
        </is>
      </c>
      <c r="D324" s="8" t="n">
        <v>10</v>
      </c>
      <c r="E324" s="8" t="inlineStr">
        <is>
          <t>SP</t>
        </is>
      </c>
      <c r="F324" s="9" t="inlineStr">
        <is>
          <t>Cambion Obžérství</t>
        </is>
      </c>
      <c r="G324" s="9" t="inlineStr">
        <is>
          <t>Za bod šílenství může ignorovat příznaky drog na jeden den. Drogy mají dvojnásobnou šanci na zbavení se bodu šílenství.</t>
        </is>
      </c>
    </row>
    <row r="325">
      <c r="A325" s="8" t="n">
        <v>694</v>
      </c>
      <c r="B325" s="8" t="inlineStr">
        <is>
          <t>Racial</t>
        </is>
      </c>
      <c r="C325" s="8" t="inlineStr">
        <is>
          <t>Bezedný žaludek</t>
        </is>
      </c>
      <c r="D325" s="8" t="n">
        <v>25</v>
      </c>
      <c r="E325" s="8" t="inlineStr">
        <is>
          <t>SP</t>
        </is>
      </c>
      <c r="F325" s="9" t="inlineStr">
        <is>
          <t>Cambion Obžérství</t>
        </is>
      </c>
      <c r="G325" s="9" t="inlineStr">
        <is>
          <t>Může zkonzumovat jídlo odpovídající pěti dnům přídělů jídla a vyléčit si tak ihned jedno VZ. Následně má po dobu pěti dnů sníženou Fyzickou hranici Rychlosti o 2. Může opakovat jednou za deset dnů.</t>
        </is>
      </c>
    </row>
    <row r="326">
      <c r="A326" s="8" t="n">
        <v>696</v>
      </c>
      <c r="B326" s="8" t="inlineStr">
        <is>
          <t>Racial</t>
        </is>
      </c>
      <c r="C326" s="8" t="inlineStr">
        <is>
          <t>Lidojed</t>
        </is>
      </c>
      <c r="D326" s="8" t="n">
        <v>5</v>
      </c>
      <c r="E326" s="8" t="inlineStr">
        <is>
          <t>SP</t>
        </is>
      </c>
      <c r="F326" s="9" t="inlineStr">
        <is>
          <t>Cambion Obžérství</t>
        </is>
      </c>
      <c r="G326" s="9" t="inlineStr">
        <is>
          <t>Při konzumaci humanoidů má šanci Hříšnost*1 na zbavení se bodu šílenství. Takto se lze zbavit bodu šílenství jednou za deset dnů.</t>
        </is>
      </c>
    </row>
    <row r="327">
      <c r="A327" s="8" t="n">
        <v>698</v>
      </c>
      <c r="B327" s="8" t="inlineStr">
        <is>
          <t>Racial</t>
        </is>
      </c>
      <c r="C327" s="8" t="inlineStr">
        <is>
          <t>Požírač duší</t>
        </is>
      </c>
      <c r="D327" s="8" t="n">
        <v>5</v>
      </c>
      <c r="E327" s="8" t="inlineStr">
        <is>
          <t>CP</t>
        </is>
      </c>
      <c r="F327" s="9" t="inlineStr">
        <is>
          <t>Cambion Obžérství; Arcana VI</t>
        </is>
      </c>
      <c r="G327" s="9" t="inlineStr">
        <is>
          <t>Šance 35% na pozření duše při zabití oponenta. Pozření duše vyléčí 5 životů nebo obnoví 5 výdrže.</t>
        </is>
      </c>
    </row>
    <row r="328">
      <c r="A328" s="8" t="n">
        <v>700</v>
      </c>
      <c r="B328" s="8" t="inlineStr">
        <is>
          <t>Racial</t>
        </is>
      </c>
      <c r="C328" s="8" t="inlineStr">
        <is>
          <t>Požírač kouzel</t>
        </is>
      </c>
      <c r="D328" s="8" t="n">
        <v>10</v>
      </c>
      <c r="E328" s="8" t="inlineStr">
        <is>
          <t>CP</t>
        </is>
      </c>
      <c r="F328" s="9" t="inlineStr">
        <is>
          <t>Cambion Obžérství; Požírač duší</t>
        </is>
      </c>
      <c r="G328" s="9" t="inlineStr">
        <is>
          <t>Šance X+30% na snížení magického efektu o polovinu, kde X je šance na Imunitu proti kouzlům. Pokud Cambion úspěšně Testuje Imunitu proti magii, obnoví si 5 Výdrže nebo si vyléčí 5 Životů.</t>
        </is>
      </c>
    </row>
    <row r="329">
      <c r="A329" s="8" t="n">
        <v>702</v>
      </c>
      <c r="B329" s="8" t="inlineStr">
        <is>
          <t>Racial</t>
        </is>
      </c>
      <c r="C329" s="8" t="inlineStr">
        <is>
          <t>Hluboký spánek</t>
        </is>
      </c>
      <c r="D329" s="8" t="n">
        <v>20</v>
      </c>
      <c r="E329" s="8" t="inlineStr">
        <is>
          <t>SP</t>
        </is>
      </c>
      <c r="F329" s="9" t="inlineStr">
        <is>
          <t>Cambion Lenosti; Meditace II</t>
        </is>
      </c>
      <c r="G329" s="9" t="inlineStr">
        <is>
          <t>Nelze probudit, spánek se vyhodnotí jako dva Dlouhé odpočinky. Během tohoto spánku má postih -40% na Chodce ve snu.</t>
        </is>
      </c>
    </row>
    <row r="330">
      <c r="A330" s="8" t="n">
        <v>704</v>
      </c>
      <c r="B330" s="8" t="inlineStr">
        <is>
          <t>Racial</t>
        </is>
      </c>
      <c r="C330" s="8" t="inlineStr">
        <is>
          <t>Spáč</t>
        </is>
      </c>
      <c r="D330" s="8" t="n">
        <v>15</v>
      </c>
      <c r="E330" s="8" t="inlineStr">
        <is>
          <t>SP</t>
        </is>
      </c>
      <c r="F330" s="9" t="inlineStr">
        <is>
          <t>Cambion Lenosti; Chodec ve snu I</t>
        </is>
      </c>
      <c r="G330" s="9" t="inlineStr">
        <is>
          <t>Bonus +5% do Chodce ve snu, může 1x za den opakovat hod na Chodce ve snu.</t>
        </is>
      </c>
    </row>
    <row r="331">
      <c r="A331" s="8" t="n">
        <v>706</v>
      </c>
      <c r="B331" s="8" t="inlineStr">
        <is>
          <t>Racial</t>
        </is>
      </c>
      <c r="C331" s="8" t="inlineStr">
        <is>
          <t>Řádný oddech</t>
        </is>
      </c>
      <c r="D331" s="8" t="n">
        <v>5</v>
      </c>
      <c r="E331" s="8" t="inlineStr">
        <is>
          <t>CP</t>
        </is>
      </c>
      <c r="F331" s="9" t="inlineStr">
        <is>
          <t>Cambion Lenosti</t>
        </is>
      </c>
      <c r="G331" s="9" t="inlineStr">
        <is>
          <t>Akce "Oddech" obnovuje o 1 Výdrž více.</t>
        </is>
      </c>
    </row>
    <row r="332">
      <c r="A332" s="8" t="n">
        <v>708</v>
      </c>
      <c r="B332" s="8" t="inlineStr">
        <is>
          <t>Racial</t>
        </is>
      </c>
      <c r="C332" s="8" t="inlineStr">
        <is>
          <t>Letargie</t>
        </is>
      </c>
      <c r="D332" s="8" t="n">
        <v>5</v>
      </c>
      <c r="E332" s="8" t="inlineStr">
        <is>
          <t>CP</t>
        </is>
      </c>
      <c r="F332" s="9" t="inlineStr">
        <is>
          <t>Cambion Lenosti; Meditace I</t>
        </is>
      </c>
      <c r="G332" s="9" t="inlineStr">
        <is>
          <t>Volná akce, 0 Výdrže. Dokud je aktivní, ztrácí jednu akci a všechny reakce, ale může opakovat jeden hod (Včetně již opakovaných hodů) a zároveň obnovuje 4 Výdrže.</t>
        </is>
      </c>
    </row>
    <row r="333">
      <c r="A333" s="8" t="n">
        <v>710</v>
      </c>
      <c r="B333" s="8" t="inlineStr">
        <is>
          <t>Racial</t>
        </is>
      </c>
      <c r="C333" s="8" t="inlineStr">
        <is>
          <t>Ješitná dokonalost</t>
        </is>
      </c>
      <c r="D333" s="8" t="n">
        <v>10</v>
      </c>
      <c r="E333" s="8" t="inlineStr">
        <is>
          <t>SP</t>
        </is>
      </c>
      <c r="F333" s="9" t="inlineStr">
        <is>
          <t>Cambion Pýchy; Hříšnost 5</t>
        </is>
      </c>
      <c r="G333" s="9" t="inlineStr">
        <is>
          <t>Postih za každou Hříšnost se pro účely Pýchy počítá jako postih 5%, ale pro všechny ostatní hříchy vždy jen jako 1%. Bonus +5% do všech Testů Nervů, které se netýkají Hříšnosti.</t>
        </is>
      </c>
    </row>
    <row r="334">
      <c r="A334" s="8" t="n">
        <v>712</v>
      </c>
      <c r="B334" s="8" t="inlineStr">
        <is>
          <t>Racial</t>
        </is>
      </c>
      <c r="C334" s="8" t="inlineStr">
        <is>
          <t>Neochvějná jistota</t>
        </is>
      </c>
      <c r="D334" s="8" t="n">
        <v>20</v>
      </c>
      <c r="E334" s="8" t="inlineStr">
        <is>
          <t>SP</t>
        </is>
      </c>
      <c r="F334" s="9" t="inlineStr">
        <is>
          <t>Cambion Pýchy</t>
        </is>
      </c>
      <c r="G334" s="9" t="inlineStr">
        <is>
          <t>Při Sebezapření má šanci 30%, že nezíská bod Šílenství.</t>
        </is>
      </c>
    </row>
    <row r="335">
      <c r="A335" s="8" t="n">
        <v>714</v>
      </c>
      <c r="B335" s="8" t="inlineStr">
        <is>
          <t>Racial</t>
        </is>
      </c>
      <c r="C335" s="8" t="inlineStr">
        <is>
          <t>Vražedná zarputilost</t>
        </is>
      </c>
      <c r="D335" s="8" t="n">
        <v>25</v>
      </c>
      <c r="E335" s="8" t="inlineStr">
        <is>
          <t>SP</t>
        </is>
      </c>
      <c r="F335" s="9" t="inlineStr">
        <is>
          <t>Cambion Pýchy</t>
        </is>
      </c>
      <c r="G335" s="9" t="inlineStr">
        <is>
          <t>Může opakovat libovolný hod (Včetně již opakovaných hodů) za cenu jednoho bodu Šílenství nebo Kritický neúspěch za dva body Šílenství.</t>
        </is>
      </c>
    </row>
    <row r="336">
      <c r="A336" s="8" t="n">
        <v>716</v>
      </c>
      <c r="B336" s="8" t="inlineStr">
        <is>
          <t>Racial</t>
        </is>
      </c>
      <c r="C336" s="8" t="inlineStr">
        <is>
          <t>Přirozený vůdce</t>
        </is>
      </c>
      <c r="D336" s="8" t="n">
        <v>15</v>
      </c>
      <c r="E336" s="8" t="inlineStr">
        <is>
          <t>SP</t>
        </is>
      </c>
      <c r="F336" s="9" t="inlineStr">
        <is>
          <t>Cambion Pýchy; Velení I</t>
        </is>
      </c>
      <c r="G336" s="9" t="inlineStr">
        <is>
          <t>Bonus +5% do Velení, může 1x za den opakovat hod na Velení.</t>
        </is>
      </c>
    </row>
    <row r="337">
      <c r="A337" s="8" t="n">
        <v>718</v>
      </c>
      <c r="B337" s="8" t="inlineStr">
        <is>
          <t>Racial</t>
        </is>
      </c>
      <c r="C337" s="8" t="inlineStr">
        <is>
          <t>Ďáblův nevěstinec</t>
        </is>
      </c>
      <c r="D337" s="8" t="n">
        <v>5</v>
      </c>
      <c r="E337" s="8" t="inlineStr">
        <is>
          <t>SP</t>
        </is>
      </c>
      <c r="F337" s="9" t="inlineStr">
        <is>
          <t>Cambion Touhy</t>
        </is>
      </c>
      <c r="G337" s="9" t="inlineStr">
        <is>
          <t>Pohlavní styk s vyhovujícím partnerem má o Hříšnost*1 větší šanci na zbavení se bodu šílenství. Partner má šanci Vzhled*1 na získání závislosti na Cambiona Touhy.</t>
        </is>
      </c>
    </row>
    <row r="338">
      <c r="A338" s="8" t="n">
        <v>720</v>
      </c>
      <c r="B338" s="8" t="inlineStr">
        <is>
          <t>Racial</t>
        </is>
      </c>
      <c r="C338" s="8" t="inlineStr">
        <is>
          <t>Obsese</t>
        </is>
      </c>
      <c r="D338" s="8" t="n">
        <v>10</v>
      </c>
      <c r="E338" s="8" t="inlineStr">
        <is>
          <t>CP</t>
        </is>
      </c>
      <c r="F338" s="9" t="inlineStr">
        <is>
          <t>Cambion Touhy</t>
        </is>
      </c>
      <c r="G338" s="9" t="inlineStr">
        <is>
          <t>Volná akce. Může si během boje zvolit jeden cíl. Všechny akce cílené na tento cíl mají bonus 5% na Úspěch, všechny ostatní akce mají ale postih 5% na Úspěch. Tato obsese trvá Hříšnost/2 kol nebo dokud cíl není vyřazen. Obsesi lze použít jednou za souboj.</t>
        </is>
      </c>
    </row>
    <row r="339">
      <c r="A339" s="8" t="n">
        <v>722</v>
      </c>
      <c r="B339" s="8" t="inlineStr">
        <is>
          <t>Racial</t>
        </is>
      </c>
      <c r="C339" s="8" t="inlineStr">
        <is>
          <t>Temné svody</t>
        </is>
      </c>
      <c r="D339" s="8" t="n">
        <v>15</v>
      </c>
      <c r="E339" s="8" t="inlineStr">
        <is>
          <t>SP</t>
        </is>
      </c>
      <c r="F339" s="9" t="inlineStr">
        <is>
          <t>Cambion Touhy</t>
        </is>
      </c>
      <c r="G339" s="9" t="inlineStr">
        <is>
          <t>Získává bonus Vzhled*2 na Přesvědčování, Klamání a Pokoušení proti vhodným partnerům.</t>
        </is>
      </c>
    </row>
    <row r="340">
      <c r="A340" s="8" t="n">
        <v>724</v>
      </c>
      <c r="B340" s="8" t="inlineStr">
        <is>
          <t>Racial</t>
        </is>
      </c>
      <c r="C340" s="8" t="inlineStr">
        <is>
          <t>Rozptýlení</t>
        </is>
      </c>
      <c r="D340" s="8" t="n">
        <v>5</v>
      </c>
      <c r="E340" s="8" t="inlineStr">
        <is>
          <t>CP</t>
        </is>
      </c>
      <c r="F340" s="9" t="inlineStr">
        <is>
          <t>Cambion Touhy</t>
        </is>
      </c>
      <c r="G340" s="9" t="inlineStr">
        <is>
          <t>Nepřátelé v oblasti 7,5m mají postih -2 do Iniciativy.</t>
        </is>
      </c>
    </row>
    <row r="341">
      <c r="A341" s="8" t="n">
        <v>726</v>
      </c>
      <c r="B341" s="8" t="inlineStr">
        <is>
          <t>Racial</t>
        </is>
      </c>
      <c r="C341" s="8" t="inlineStr">
        <is>
          <t>Nenáviděný nepřítel</t>
        </is>
      </c>
      <c r="D341" s="8" t="n">
        <v>15</v>
      </c>
      <c r="E341" s="8" t="inlineStr">
        <is>
          <t>CP</t>
        </is>
      </c>
      <c r="F341" s="9" t="inlineStr">
        <is>
          <t>Cambion Závisti; Doktrína IV</t>
        </is>
      </c>
      <c r="G341" s="9" t="inlineStr">
        <is>
          <t>Může si zvolit jednu libovolnou Metlu.</t>
        </is>
      </c>
    </row>
    <row r="342">
      <c r="A342" s="8" t="n">
        <v>728</v>
      </c>
      <c r="B342" s="8" t="inlineStr">
        <is>
          <t>Racial</t>
        </is>
      </c>
      <c r="C342" s="8" t="inlineStr">
        <is>
          <t>Jedovatý jazyk</t>
        </is>
      </c>
      <c r="D342" s="8" t="n">
        <v>15</v>
      </c>
      <c r="E342" s="8" t="inlineStr">
        <is>
          <t>SP</t>
        </is>
      </c>
      <c r="F342" s="9" t="inlineStr">
        <is>
          <t>Cambion Závisti; Klamání I</t>
        </is>
      </c>
      <c r="G342" s="9" t="inlineStr">
        <is>
          <t>Bonus +5% do Klamání, může 1x za den opakovat hod na Klamání.</t>
        </is>
      </c>
    </row>
    <row r="343">
      <c r="A343" s="8" t="n">
        <v>730</v>
      </c>
      <c r="B343" s="8" t="inlineStr">
        <is>
          <t>Racial</t>
        </is>
      </c>
      <c r="C343" s="8" t="inlineStr">
        <is>
          <t>Skrytý ve stínech</t>
        </is>
      </c>
      <c r="D343" s="8" t="n">
        <v>15</v>
      </c>
      <c r="E343" s="8" t="inlineStr">
        <is>
          <t>SP</t>
        </is>
      </c>
      <c r="F343" s="9" t="inlineStr">
        <is>
          <t>Cambion Závisti; Plížení I</t>
        </is>
      </c>
      <c r="G343" s="9" t="inlineStr">
        <is>
          <t>Bonus +5% do Plížení, může 1x za den opakovat hod na Plížení</t>
        </is>
      </c>
    </row>
    <row r="344">
      <c r="A344" s="8" t="n">
        <v>732</v>
      </c>
      <c r="B344" s="8" t="inlineStr">
        <is>
          <t>Racial</t>
        </is>
      </c>
      <c r="C344" s="8" t="inlineStr">
        <is>
          <t>Radost z mizérie</t>
        </is>
      </c>
      <c r="D344" s="8" t="n">
        <v>10</v>
      </c>
      <c r="E344" s="8" t="inlineStr">
        <is>
          <t>CP</t>
        </is>
      </c>
      <c r="F344" s="9" t="inlineStr">
        <is>
          <t>Cambion Závisti</t>
        </is>
      </c>
      <c r="G344" s="9" t="inlineStr">
        <is>
          <t>Bonus +3% na Úspěch, pokud má libovolný družiník více VZ nebo je Vyřazený.</t>
        </is>
      </c>
    </row>
    <row r="345">
      <c r="A345" s="8" t="n">
        <v>735</v>
      </c>
      <c r="B345" s="8" t="inlineStr">
        <is>
          <t>Racial</t>
        </is>
      </c>
      <c r="C345" s="8" t="inlineStr">
        <is>
          <t>Yormunská játra</t>
        </is>
      </c>
      <c r="D345" s="8" t="n">
        <v>20</v>
      </c>
      <c r="E345" s="8" t="inlineStr">
        <is>
          <t>SP</t>
        </is>
      </c>
      <c r="F345" s="9" t="inlineStr">
        <is>
          <t>Yormun; Pijáctví I</t>
        </is>
      </c>
      <c r="G345" s="9" t="inlineStr">
        <is>
          <t>Bonus +5% do Pijáctví, může 1x za den opakovat hod na Pijáctví. Toxicita +5</t>
        </is>
      </c>
    </row>
    <row r="346">
      <c r="A346" s="8" t="n">
        <v>737</v>
      </c>
      <c r="B346" s="8" t="inlineStr">
        <is>
          <t>Racial</t>
        </is>
      </c>
      <c r="C346" s="8" t="inlineStr">
        <is>
          <t>Yormunská vytrvalost</t>
        </is>
      </c>
      <c r="D346" s="8" t="n">
        <v>20</v>
      </c>
      <c r="E346" s="8" t="inlineStr">
        <is>
          <t>SP</t>
        </is>
      </c>
      <c r="F346" s="9" t="inlineStr">
        <is>
          <t>Yormun; Svaly I</t>
        </is>
      </c>
      <c r="G346" s="9" t="inlineStr">
        <is>
          <t>Bonus +5% do Síly, může 1x za den opakovat hod na Sílu. Výdrž +2</t>
        </is>
      </c>
    </row>
    <row r="347">
      <c r="A347" s="8" t="n">
        <v>739</v>
      </c>
      <c r="B347" s="8" t="inlineStr">
        <is>
          <t>Racial</t>
        </is>
      </c>
      <c r="C347" s="8" t="inlineStr">
        <is>
          <t>Surovost</t>
        </is>
      </c>
      <c r="D347" s="8" t="n">
        <v>20</v>
      </c>
      <c r="E347" s="8" t="inlineStr">
        <is>
          <t>SP</t>
        </is>
      </c>
      <c r="F347" s="9" t="inlineStr">
        <is>
          <t>Yormun; Doktrína IV</t>
        </is>
      </c>
      <c r="G347" s="9" t="inlineStr">
        <is>
          <t>Pokud po Zteči ukončí pohyb tak, aby sousedil se svým cílem, může vyvolat versus Test Síly na odsunutí. Kritický neúspěch oponenta vyústí navíc v povalení.</t>
        </is>
      </c>
    </row>
    <row r="348">
      <c r="A348" s="8" t="n">
        <v>741</v>
      </c>
      <c r="B348" s="8" t="inlineStr">
        <is>
          <t>Racial</t>
        </is>
      </c>
      <c r="C348" s="8" t="inlineStr">
        <is>
          <t>Zamrzlá krev</t>
        </is>
      </c>
      <c r="D348" s="8" t="n">
        <v>5</v>
      </c>
      <c r="E348" s="8" t="inlineStr">
        <is>
          <t>CP</t>
        </is>
      </c>
      <c r="F348" s="9" t="inlineStr">
        <is>
          <t>Yormun</t>
        </is>
      </c>
      <c r="G348" s="9" t="inlineStr">
        <is>
          <t>Snižuje šanci na získání Krvácení o -15%</t>
        </is>
      </c>
    </row>
    <row r="349">
      <c r="A349" s="8" t="n">
        <v>743</v>
      </c>
      <c r="B349" s="8" t="inlineStr">
        <is>
          <t>Racial</t>
        </is>
      </c>
      <c r="C349" s="8" t="inlineStr">
        <is>
          <t>Divoké rozseknutí</t>
        </is>
      </c>
      <c r="D349" s="8" t="n">
        <v>10</v>
      </c>
      <c r="E349" s="8" t="inlineStr">
        <is>
          <t>CP</t>
        </is>
      </c>
      <c r="F349" s="9" t="inlineStr">
        <is>
          <t>Yormun; Doktrína VI</t>
        </is>
      </c>
      <c r="G349" s="9" t="inlineStr">
        <is>
          <t>Pro akce "Daleké rozseknutí", "Zteč s rozseknutím" a "Rozseknutí" zvyšuje možný počet sousedících cílů o jeden.</t>
        </is>
      </c>
    </row>
    <row r="350">
      <c r="A350" s="8" t="n">
        <v>745</v>
      </c>
      <c r="B350" s="8" t="inlineStr">
        <is>
          <t>Racial</t>
        </is>
      </c>
      <c r="C350" s="8" t="inlineStr">
        <is>
          <t>Stoik</t>
        </is>
      </c>
      <c r="D350" s="8" t="n">
        <v>15</v>
      </c>
      <c r="E350" s="8" t="inlineStr">
        <is>
          <t>SP</t>
        </is>
      </c>
      <c r="F350" s="9" t="inlineStr">
        <is>
          <t>Yormun</t>
        </is>
      </c>
      <c r="G350" s="9" t="inlineStr">
        <is>
          <t>Může 1x za den opakovat hod na Nervy.</t>
        </is>
      </c>
    </row>
    <row r="351">
      <c r="A351" s="8" t="n">
        <v>747</v>
      </c>
      <c r="B351" s="8" t="inlineStr">
        <is>
          <t>Racial</t>
        </is>
      </c>
      <c r="C351" s="8" t="inlineStr">
        <is>
          <t>Val</t>
        </is>
      </c>
      <c r="D351" s="8" t="n">
        <v>30</v>
      </c>
      <c r="E351" s="8" t="inlineStr">
        <is>
          <t>SP</t>
        </is>
      </c>
      <c r="F351" s="9" t="inlineStr">
        <is>
          <t>Yormun; Doktrína VI</t>
        </is>
      </c>
      <c r="G351" s="9" t="inlineStr">
        <is>
          <t>Výhoda na všechny versus Testy Síly.</t>
        </is>
      </c>
    </row>
    <row r="352">
      <c r="A352" s="8" t="n">
        <v>749</v>
      </c>
      <c r="B352" s="8" t="inlineStr">
        <is>
          <t>Racial</t>
        </is>
      </c>
      <c r="C352" s="8" t="inlineStr">
        <is>
          <t>Prastarý</t>
        </is>
      </c>
      <c r="D352" s="8" t="n">
        <v>15</v>
      </c>
      <c r="E352" s="8" t="inlineStr">
        <is>
          <t>CP</t>
        </is>
      </c>
      <c r="F352" s="9" t="inlineStr">
        <is>
          <t>Yormun; Zbraň VII</t>
        </is>
      </c>
      <c r="G352" s="9" t="inlineStr">
        <is>
          <t>Životy +10, Kritický rozsah +1</t>
        </is>
      </c>
    </row>
    <row r="353">
      <c r="A353" s="8" t="n">
        <v>752</v>
      </c>
      <c r="B353" s="8" t="inlineStr">
        <is>
          <t>Racial</t>
        </is>
      </c>
      <c r="C353" s="8" t="inlineStr">
        <is>
          <t>Specializace: *Dovednost*</t>
        </is>
      </c>
      <c r="D353" s="8" t="n">
        <v>0</v>
      </c>
      <c r="E353" s="8" t="inlineStr">
        <is>
          <t>SP</t>
        </is>
      </c>
      <c r="F353" s="9" t="inlineStr">
        <is>
          <t>Seraphar</t>
        </is>
      </c>
      <c r="G353" s="9" t="inlineStr">
        <is>
          <t>Vybírá si jednu nebojovou dovednost, na kterou má slevu 3 SP za stupeň a bonus +5%. Může 1x za den opakovat hod na *Dovednost*</t>
        </is>
      </c>
    </row>
    <row r="354">
      <c r="A354" s="8" t="n">
        <v>754</v>
      </c>
      <c r="B354" s="8" t="inlineStr">
        <is>
          <t>Racial</t>
        </is>
      </c>
      <c r="C354" s="8" t="inlineStr">
        <is>
          <t>Vyvolený Světla</t>
        </is>
      </c>
      <c r="D354" s="8" t="n">
        <v>20</v>
      </c>
      <c r="E354" s="8" t="inlineStr">
        <is>
          <t>SP</t>
        </is>
      </c>
      <c r="F354" s="9" t="inlineStr">
        <is>
          <t>Seraphar; Dokončená specializace Kněz</t>
        </is>
      </c>
      <c r="G354" s="9" t="inlineStr">
        <is>
          <t>Může si jednou vybrat druhý bonus za dokončení specializace Kněz.</t>
        </is>
      </c>
    </row>
    <row r="355">
      <c r="A355" s="8" t="n">
        <v>756</v>
      </c>
      <c r="B355" s="8" t="inlineStr">
        <is>
          <t>Racial</t>
        </is>
      </c>
      <c r="C355" s="8" t="inlineStr">
        <is>
          <t>Spojení se Světlem</t>
        </is>
      </c>
      <c r="D355" s="8" t="n">
        <v>5</v>
      </c>
      <c r="E355" s="8" t="inlineStr">
        <is>
          <t>CP</t>
        </is>
      </c>
      <c r="F355" s="9" t="inlineStr">
        <is>
          <t>Seraphar; Arcana V</t>
        </is>
      </c>
      <c r="G355" s="9" t="inlineStr">
        <is>
          <t>Spojení se Světlem může použít Vůle*1+1krát za Dlouhý odpočinek.</t>
        </is>
      </c>
    </row>
    <row r="356">
      <c r="A356" s="8" t="n">
        <v>758</v>
      </c>
      <c r="B356" s="8" t="inlineStr">
        <is>
          <t>Racial</t>
        </is>
      </c>
      <c r="C356" s="8" t="inlineStr">
        <is>
          <t>Očistný úsvit</t>
        </is>
      </c>
      <c r="D356" s="8" t="n">
        <v>5</v>
      </c>
      <c r="E356" s="8" t="inlineStr">
        <is>
          <t>SP</t>
        </is>
      </c>
      <c r="F356" s="9" t="inlineStr">
        <is>
          <t>Seraphar</t>
        </is>
      </c>
      <c r="G356" s="9" t="inlineStr">
        <is>
          <t>Každý den ztrácí 2 Korupce.</t>
        </is>
      </c>
    </row>
    <row r="357">
      <c r="A357" s="8" t="n">
        <v>760</v>
      </c>
      <c r="B357" s="8" t="inlineStr">
        <is>
          <t>Racial</t>
        </is>
      </c>
      <c r="C357" s="8" t="inlineStr">
        <is>
          <t>Pronikavý pohled</t>
        </is>
      </c>
      <c r="D357" s="8" t="n">
        <v>15</v>
      </c>
      <c r="E357" s="8" t="inlineStr">
        <is>
          <t>SP</t>
        </is>
      </c>
      <c r="F357" s="9" t="inlineStr">
        <is>
          <t>Seraphar; Vhled I</t>
        </is>
      </c>
      <c r="G357" s="9" t="inlineStr">
        <is>
          <t>Bonus +5% do Vhledu, může 1x za den opakovat hod na Vhled.</t>
        </is>
      </c>
    </row>
    <row r="358">
      <c r="A358" s="8" t="n">
        <v>762</v>
      </c>
      <c r="B358" s="8" t="inlineStr">
        <is>
          <t>Racial</t>
        </is>
      </c>
      <c r="C358" s="8" t="inlineStr">
        <is>
          <t>Požehnaný dotek</t>
        </is>
      </c>
      <c r="D358" s="8" t="n">
        <v>15</v>
      </c>
      <c r="E358" s="8" t="inlineStr">
        <is>
          <t>SP</t>
        </is>
      </c>
      <c r="F358" s="9" t="inlineStr">
        <is>
          <t>Seraphar; Ranhojičství I</t>
        </is>
      </c>
      <c r="G358" s="9" t="inlineStr">
        <is>
          <t>Bonus +5% do Ranhojičství, může 1x za den opakovat hod na Ranhojičství.</t>
        </is>
      </c>
    </row>
    <row r="359">
      <c r="A359" s="8" t="n">
        <v>764</v>
      </c>
      <c r="B359" s="8" t="inlineStr">
        <is>
          <t>Racial</t>
        </is>
      </c>
      <c r="C359" s="8" t="inlineStr">
        <is>
          <t>Nebeský meč</t>
        </is>
      </c>
      <c r="D359" s="8" t="n">
        <v>10</v>
      </c>
      <c r="E359" s="8" t="inlineStr">
        <is>
          <t>CP</t>
        </is>
      </c>
      <c r="F359" s="9" t="inlineStr">
        <is>
          <t>Seraphar; Doktrína III</t>
        </is>
      </c>
      <c r="G359" s="9" t="inlineStr">
        <is>
          <t>Může 1x za den opakovat hod na Útok, Obranu, Vrh či Střelbu (Včetně kritického neúspěchu) proti nepřátelům Světla.</t>
        </is>
      </c>
    </row>
    <row r="360">
      <c r="A360" s="8" t="n">
        <v>766</v>
      </c>
      <c r="B360" s="8" t="inlineStr">
        <is>
          <t>Racial</t>
        </is>
      </c>
      <c r="C360" s="8" t="inlineStr">
        <is>
          <t>Aspekt Pomsty</t>
        </is>
      </c>
      <c r="D360" s="8" t="n">
        <v>10</v>
      </c>
      <c r="E360" s="8" t="inlineStr">
        <is>
          <t>CP</t>
        </is>
      </c>
      <c r="F360" s="9" t="inlineStr">
        <is>
          <t>Seraphar; Doktrína IV</t>
        </is>
      </c>
      <c r="G360" s="9" t="inlineStr">
        <is>
          <t>Může si zvolit jednu z následujících metel: Nemrtví, Zkažení, Démoni nebo Relikty.</t>
        </is>
      </c>
    </row>
    <row r="361">
      <c r="A361" s="8" t="n">
        <v>768</v>
      </c>
      <c r="B361" s="8" t="inlineStr">
        <is>
          <t>Racial</t>
        </is>
      </c>
      <c r="C361" s="8" t="inlineStr">
        <is>
          <t>Ochrana nebes</t>
        </is>
      </c>
      <c r="D361" s="8" t="n">
        <v>5</v>
      </c>
      <c r="E361" s="8" t="inlineStr">
        <is>
          <t>CP</t>
        </is>
      </c>
      <c r="F361" s="9" t="inlineStr">
        <is>
          <t>Seraphar; Víra 4</t>
        </is>
      </c>
      <c r="G361" s="9" t="inlineStr">
        <is>
          <t>Šance 15% na imunitu proti kouzlům a zázrakům Temnoty.</t>
        </is>
      </c>
    </row>
    <row r="362">
      <c r="A362" s="8" t="n">
        <v>770</v>
      </c>
      <c r="B362" s="8" t="inlineStr">
        <is>
          <t>Racial</t>
        </is>
      </c>
      <c r="C362" s="8" t="inlineStr">
        <is>
          <t>Zkušený válečník</t>
        </is>
      </c>
      <c r="D362" s="8" t="n">
        <v>5</v>
      </c>
      <c r="E362" s="8" t="inlineStr">
        <is>
          <t>CP</t>
        </is>
      </c>
      <c r="F362" s="9" t="inlineStr">
        <is>
          <t>Seraphar; Souboj X</t>
        </is>
      </c>
      <c r="G362" s="9" t="inlineStr">
        <is>
          <t>Bonus na Zásah a Obranu +5%</t>
        </is>
      </c>
    </row>
    <row r="363">
      <c r="A363" s="8" t="n">
        <v>772</v>
      </c>
      <c r="B363" s="8" t="inlineStr">
        <is>
          <t>Racial</t>
        </is>
      </c>
      <c r="C363" s="8" t="inlineStr">
        <is>
          <t>Zkušený střelec</t>
        </is>
      </c>
      <c r="D363" s="8" t="n">
        <v>5</v>
      </c>
      <c r="E363" s="8" t="inlineStr">
        <is>
          <t>CP</t>
        </is>
      </c>
      <c r="F363" s="9" t="inlineStr">
        <is>
          <t>Seraphar; Střelba X</t>
        </is>
      </c>
      <c r="G363" s="9" t="inlineStr">
        <is>
          <t>Bonus na Střelbu +5%</t>
        </is>
      </c>
    </row>
    <row r="364">
      <c r="A364" s="8" t="n">
        <v>775</v>
      </c>
      <c r="B364" s="8" t="inlineStr">
        <is>
          <t>Racial</t>
        </is>
      </c>
      <c r="C364" s="8" t="inlineStr">
        <is>
          <t>Stráž oblohy</t>
        </is>
      </c>
      <c r="D364" s="8" t="n">
        <v>15</v>
      </c>
      <c r="E364" s="8" t="inlineStr">
        <is>
          <t>SP</t>
        </is>
      </c>
      <c r="F364" s="9" t="inlineStr">
        <is>
          <t>Avésan</t>
        </is>
      </c>
      <c r="G364" s="9" t="inlineStr">
        <is>
          <t>Imunita na efekt Mokrý a +5 Bleskové Kz</t>
        </is>
      </c>
    </row>
    <row r="365">
      <c r="A365" s="8" t="n">
        <v>777</v>
      </c>
      <c r="B365" s="8" t="inlineStr">
        <is>
          <t>Racial</t>
        </is>
      </c>
      <c r="C365" s="8" t="inlineStr">
        <is>
          <t>Ptačí žaludek</t>
        </is>
      </c>
      <c r="D365" s="8" t="n">
        <v>0</v>
      </c>
      <c r="E365" s="8" t="inlineStr">
        <is>
          <t>SP</t>
        </is>
      </c>
      <c r="F365" s="9" t="inlineStr">
        <is>
          <t>Avésan</t>
        </is>
      </c>
      <c r="G365" s="9" t="inlineStr">
        <is>
          <t>Konzumace syrového, zkaženého či obdobně nevhodného jídla nepřináší žádné negativní efekty.</t>
        </is>
      </c>
    </row>
    <row r="366">
      <c r="A366" s="8" t="n">
        <v>779</v>
      </c>
      <c r="B366" s="8" t="inlineStr">
        <is>
          <t>Racial</t>
        </is>
      </c>
      <c r="C366" s="8" t="inlineStr">
        <is>
          <t>Dravčí reflexy</t>
        </is>
      </c>
      <c r="D366" s="8" t="n">
        <v>5</v>
      </c>
      <c r="E366" s="8" t="inlineStr">
        <is>
          <t>CP</t>
        </is>
      </c>
      <c r="F366" s="9" t="inlineStr">
        <is>
          <t>Avésan; Vnímání 3</t>
        </is>
      </c>
      <c r="G366" s="9" t="inlineStr">
        <is>
          <t>Bonus +2 do Iniciativy.</t>
        </is>
      </c>
    </row>
    <row r="367">
      <c r="A367" s="8" t="n">
        <v>781</v>
      </c>
      <c r="B367" s="8" t="inlineStr">
        <is>
          <t>Racial</t>
        </is>
      </c>
      <c r="C367" s="8" t="inlineStr">
        <is>
          <t>Dítě nebes</t>
        </is>
      </c>
      <c r="D367" s="8" t="n">
        <v>10</v>
      </c>
      <c r="E367" s="8" t="inlineStr">
        <is>
          <t>CP</t>
        </is>
      </c>
      <c r="F367" s="9" t="inlineStr">
        <is>
          <t>Avésan</t>
        </is>
      </c>
      <c r="G367" s="9" t="inlineStr">
        <is>
          <t>Jednou za den může získat Výhodu na libovolný hod.</t>
        </is>
      </c>
    </row>
    <row r="368">
      <c r="A368" s="8" t="n">
        <v>783</v>
      </c>
      <c r="B368" s="8" t="inlineStr">
        <is>
          <t>Racial</t>
        </is>
      </c>
      <c r="C368" s="8" t="inlineStr">
        <is>
          <t>Požehnání *něčeho*</t>
        </is>
      </c>
      <c r="D368" s="8" t="n">
        <v>0</v>
      </c>
      <c r="E368" s="8" t="inlineStr">
        <is>
          <t>CP</t>
        </is>
      </c>
      <c r="F368" s="9" t="inlineStr">
        <is>
          <t>Avésan; Odolnost&lt;3</t>
        </is>
      </c>
      <c r="G368" s="9" t="inlineStr">
        <is>
          <t>Získává +5% na Úspěch.</t>
        </is>
      </c>
    </row>
    <row r="369">
      <c r="A369" s="8" t="n">
        <v>785</v>
      </c>
      <c r="B369" s="8" t="inlineStr">
        <is>
          <t>Racial</t>
        </is>
      </c>
      <c r="C369" s="8" t="inlineStr">
        <is>
          <t>Znalost dynastie</t>
        </is>
      </c>
      <c r="D369" s="8" t="n">
        <v>10</v>
      </c>
      <c r="E369" s="8" t="inlineStr">
        <is>
          <t>SP</t>
        </is>
      </c>
      <c r="F369" s="9" t="inlineStr">
        <is>
          <t>Avaheth; Umělecká tvorba IV</t>
        </is>
      </c>
      <c r="G369" s="9" t="inlineStr">
        <is>
          <t>Šance +5% na Kritický úspěch na Uměleckou tvorbu.</t>
        </is>
      </c>
    </row>
    <row r="370">
      <c r="A370" s="8" t="n">
        <v>787</v>
      </c>
      <c r="B370" s="8" t="inlineStr">
        <is>
          <t>Racial</t>
        </is>
      </c>
      <c r="C370" s="8" t="inlineStr">
        <is>
          <t>Přivítání slunce</t>
        </is>
      </c>
      <c r="D370" s="8" t="n">
        <v>10</v>
      </c>
      <c r="E370" s="8" t="inlineStr">
        <is>
          <t>CP</t>
        </is>
      </c>
      <c r="F370" s="9" t="inlineStr">
        <is>
          <t>Avaheth; Bard</t>
        </is>
      </c>
      <c r="G370" s="9" t="inlineStr">
        <is>
          <t>Může za 1 akci Testovat Hudbu (Zpěv), aby zrušil vybranému spojenci efekt Spánku (Normální), Oslabení (Těžký), Omráčení (-40%) nebo Ochromení (Legendární)</t>
        </is>
      </c>
    </row>
    <row r="371">
      <c r="A371" s="8" t="n">
        <v>789</v>
      </c>
      <c r="B371" s="8" t="inlineStr">
        <is>
          <t>Racial</t>
        </is>
      </c>
      <c r="C371" s="8" t="inlineStr">
        <is>
          <t>Libozvučný hlas</t>
        </is>
      </c>
      <c r="D371" s="8" t="n">
        <v>15</v>
      </c>
      <c r="E371" s="8" t="inlineStr">
        <is>
          <t>SP</t>
        </is>
      </c>
      <c r="F371" s="9" t="inlineStr">
        <is>
          <t>Avaheth</t>
        </is>
      </c>
      <c r="G371" s="9" t="inlineStr">
        <is>
          <t>Bonus +5% do Hudby a Malování, může 1x za den opakovat hod na Hudbu nebo Malování.</t>
        </is>
      </c>
    </row>
    <row r="372">
      <c r="A372" s="8" t="n">
        <v>791</v>
      </c>
      <c r="B372" s="8" t="inlineStr">
        <is>
          <t>Racial</t>
        </is>
      </c>
      <c r="C372" s="8" t="inlineStr">
        <is>
          <t>Ptačí virtuos</t>
        </is>
      </c>
      <c r="D372" s="8" t="n">
        <v>20</v>
      </c>
      <c r="E372" s="8" t="inlineStr">
        <is>
          <t>SP</t>
        </is>
      </c>
      <c r="F372" s="9" t="inlineStr">
        <is>
          <t>Avaheth; Dokončená specilizace Bard</t>
        </is>
      </c>
      <c r="G372" s="9" t="inlineStr">
        <is>
          <t>Může si jednou vybrat druhý bonus za dokončení specializace Bard.</t>
        </is>
      </c>
    </row>
    <row r="373">
      <c r="A373" s="8" t="n">
        <v>793</v>
      </c>
      <c r="B373" s="8" t="inlineStr">
        <is>
          <t>Racial</t>
        </is>
      </c>
      <c r="C373" s="8" t="inlineStr">
        <is>
          <t>Kouzelné peří</t>
        </is>
      </c>
      <c r="D373" s="8" t="n">
        <v>20</v>
      </c>
      <c r="E373" s="8" t="inlineStr">
        <is>
          <t>SP</t>
        </is>
      </c>
      <c r="F373" s="9" t="inlineStr">
        <is>
          <t>Dirheth</t>
        </is>
      </c>
      <c r="G373" s="9" t="inlineStr">
        <is>
          <t>Získává +5 magického Kz</t>
        </is>
      </c>
    </row>
    <row r="374">
      <c r="A374" s="8" t="n">
        <v>795</v>
      </c>
      <c r="B374" s="8" t="inlineStr">
        <is>
          <t>Racial</t>
        </is>
      </c>
      <c r="C374" s="8" t="inlineStr">
        <is>
          <t>Moudrá sova</t>
        </is>
      </c>
      <c r="D374" s="8" t="n">
        <v>20</v>
      </c>
      <c r="E374" s="8" t="inlineStr">
        <is>
          <t>SP</t>
        </is>
      </c>
      <c r="F374" s="9" t="inlineStr">
        <is>
          <t>Dirheth</t>
        </is>
      </c>
      <c r="G374" s="9" t="inlineStr">
        <is>
          <t>Získává Výhodu na Testy Logiky. Bonus +5% do Arcany, může 1x za den opakovat hod na Arcanu.</t>
        </is>
      </c>
    </row>
    <row r="375">
      <c r="A375" s="8" t="n">
        <v>797</v>
      </c>
      <c r="B375" s="8" t="inlineStr">
        <is>
          <t>Racial</t>
        </is>
      </c>
      <c r="C375" s="8" t="inlineStr">
        <is>
          <t>Hluboká znalost</t>
        </is>
      </c>
      <c r="D375" s="8" t="n">
        <v>15</v>
      </c>
      <c r="E375" s="8" t="inlineStr">
        <is>
          <t>CP</t>
        </is>
      </c>
      <c r="F375" s="9" t="inlineStr">
        <is>
          <t>Dirheth; Usměrňování I</t>
        </is>
      </c>
      <c r="G375" s="9" t="inlineStr">
        <is>
          <t>Zvolí si libovolnou Školu (Kromě Krve), do které získává Sílu kouzla +2 a sníženou obtížnost kouzel o 5%</t>
        </is>
      </c>
    </row>
    <row r="376">
      <c r="A376" s="8" t="n">
        <v>799</v>
      </c>
      <c r="B376" s="8" t="inlineStr">
        <is>
          <t>Racial</t>
        </is>
      </c>
      <c r="C376" s="8" t="inlineStr">
        <is>
          <t>Noční dravec</t>
        </is>
      </c>
      <c r="D376" s="8" t="n">
        <v>15</v>
      </c>
      <c r="E376" s="8" t="inlineStr">
        <is>
          <t>SP</t>
        </is>
      </c>
      <c r="F376" s="9" t="inlineStr">
        <is>
          <t>Dirheth; Plížení I</t>
        </is>
      </c>
      <c r="G376" s="9" t="inlineStr">
        <is>
          <t>Bonus +5% do Plížení, může 1x za den opakovat hod na Plížení</t>
        </is>
      </c>
    </row>
    <row r="377">
      <c r="A377" s="8" t="n">
        <v>801</v>
      </c>
      <c r="B377" s="8" t="inlineStr">
        <is>
          <t>Racial</t>
        </is>
      </c>
      <c r="C377" s="8" t="inlineStr">
        <is>
          <t>Opeřený ostrostřelec</t>
        </is>
      </c>
      <c r="D377" s="8" t="n">
        <v>5</v>
      </c>
      <c r="E377" s="8" t="inlineStr">
        <is>
          <t>CP</t>
        </is>
      </c>
      <c r="F377" s="9" t="inlineStr">
        <is>
          <t>Raheth; Střelba I</t>
        </is>
      </c>
      <c r="G377" s="9" t="inlineStr">
        <is>
          <t>Požadavky na Sílu jsou pro kuše a luky o 1 menší. Maximální počet Míření pro kuše a luky +1</t>
        </is>
      </c>
    </row>
    <row r="378">
      <c r="A378" s="8" t="n">
        <v>803</v>
      </c>
      <c r="B378" s="8" t="inlineStr">
        <is>
          <t>Racial</t>
        </is>
      </c>
      <c r="C378" s="8" t="inlineStr">
        <is>
          <t>Rychlý lovec</t>
        </is>
      </c>
      <c r="D378" s="8" t="n">
        <v>5</v>
      </c>
      <c r="E378" s="8" t="inlineStr">
        <is>
          <t>CP</t>
        </is>
      </c>
      <c r="F378" s="9" t="inlineStr">
        <is>
          <t>Raheth; Obratnost 3</t>
        </is>
      </c>
      <c r="G378" s="9" t="inlineStr">
        <is>
          <t>Po kritickém zásahu může vykonat Pomalý pohyb jako Volnou akci. Lze použít jednou za kolo.</t>
        </is>
      </c>
    </row>
    <row r="379">
      <c r="A379" s="8" t="n">
        <v>805</v>
      </c>
      <c r="B379" s="8" t="inlineStr">
        <is>
          <t>Racial</t>
        </is>
      </c>
      <c r="C379" s="8" t="inlineStr">
        <is>
          <t>Bystrý dravec</t>
        </is>
      </c>
      <c r="D379" s="8" t="n">
        <v>5</v>
      </c>
      <c r="E379" s="8" t="inlineStr">
        <is>
          <t>CP</t>
        </is>
      </c>
      <c r="F379" s="9" t="inlineStr">
        <is>
          <t>Raheth; Doktrína III</t>
        </is>
      </c>
      <c r="G379" s="9" t="inlineStr">
        <is>
          <t>Cílené útoky na cíl, na který má alespoň jedno Míření, mají snížený postih na Zásah, Střelbu a Vrh o 5%</t>
        </is>
      </c>
    </row>
    <row r="380">
      <c r="A380" s="8" t="n">
        <v>807</v>
      </c>
      <c r="B380" s="8" t="inlineStr">
        <is>
          <t>Racial</t>
        </is>
      </c>
      <c r="C380" s="8" t="inlineStr">
        <is>
          <t>Číhající dravec</t>
        </is>
      </c>
      <c r="D380" s="8" t="n">
        <v>5</v>
      </c>
      <c r="E380" s="8" t="inlineStr">
        <is>
          <t>CP</t>
        </is>
      </c>
      <c r="F380" s="9" t="inlineStr">
        <is>
          <t>Raheth</t>
        </is>
      </c>
      <c r="G380" s="9" t="inlineStr">
        <is>
          <t>Zákeřný útok způsobuje dodatečných 1d6 zranění. Střelba do aktivního souboje má vždy postih jen 10%</t>
        </is>
      </c>
    </row>
    <row r="381">
      <c r="A381" s="8" t="n">
        <v>809</v>
      </c>
      <c r="B381" s="8" t="inlineStr">
        <is>
          <t>Racial</t>
        </is>
      </c>
      <c r="C381" s="8" t="inlineStr">
        <is>
          <t>Černý pařát</t>
        </is>
      </c>
      <c r="D381" s="8" t="n">
        <v>5</v>
      </c>
      <c r="E381" s="8" t="inlineStr">
        <is>
          <t>CP</t>
        </is>
      </c>
      <c r="F381" s="9" t="inlineStr">
        <is>
          <t>Corheth; Doktrína IV</t>
        </is>
      </c>
      <c r="G381" s="9" t="inlineStr">
        <is>
          <t>Používá-li Lehké zbraně v boji, získává Kritické zranění/Průbojnost +5 a šanci na Kritický zásah +2%</t>
        </is>
      </c>
    </row>
    <row r="382">
      <c r="A382" s="8" t="n">
        <v>811</v>
      </c>
      <c r="B382" s="8" t="inlineStr">
        <is>
          <t>Racial</t>
        </is>
      </c>
      <c r="C382" s="8" t="inlineStr">
        <is>
          <t>Zlodějíček</t>
        </is>
      </c>
      <c r="D382" s="8" t="n">
        <v>15</v>
      </c>
      <c r="E382" s="8" t="inlineStr">
        <is>
          <t>SP</t>
        </is>
      </c>
      <c r="F382" s="9" t="inlineStr">
        <is>
          <t>Corheth</t>
        </is>
      </c>
      <c r="G382" s="9" t="inlineStr">
        <is>
          <t>Bonus +3% do Klamání. Může 1x za den opakovat hod na Plížení, Kapsářství nebo Odemykání zámků.</t>
        </is>
      </c>
    </row>
    <row r="383">
      <c r="A383" s="8" t="n">
        <v>813</v>
      </c>
      <c r="B383" s="8" t="inlineStr">
        <is>
          <t>Racial</t>
        </is>
      </c>
      <c r="C383" s="8" t="inlineStr">
        <is>
          <t>Rychlý stín</t>
        </is>
      </c>
      <c r="D383" s="8" t="n">
        <v>15</v>
      </c>
      <c r="E383" s="8" t="inlineStr">
        <is>
          <t>CP</t>
        </is>
      </c>
      <c r="F383" s="9" t="inlineStr">
        <is>
          <t>Corheth; Doktrína V</t>
        </is>
      </c>
      <c r="G383" s="9" t="inlineStr">
        <is>
          <t>Zvyšuje Iniciativu o +2. Pokud použije akci "Běh", může následně zaútočit za Volnou akci. Tento útok způsobuje jen poloviční zranění.</t>
        </is>
      </c>
    </row>
    <row r="384">
      <c r="A384" s="8" t="n">
        <v>815</v>
      </c>
      <c r="B384" s="8" t="inlineStr">
        <is>
          <t>Racial</t>
        </is>
      </c>
      <c r="C384" s="8" t="inlineStr">
        <is>
          <t>Opeřené dýky</t>
        </is>
      </c>
      <c r="D384" s="8" t="n">
        <v>20</v>
      </c>
      <c r="E384" s="8" t="inlineStr">
        <is>
          <t>CP</t>
        </is>
      </c>
      <c r="F384" s="9" t="inlineStr">
        <is>
          <t>Corheth; Doktrína V</t>
        </is>
      </c>
      <c r="G384" s="9" t="inlineStr">
        <is>
          <t>Při používání Dýky nebo Vrhacího nože získává bonus Vnímání*1 do zranění.</t>
        </is>
      </c>
    </row>
    <row r="385">
      <c r="A385" s="8" t="n">
        <v>817</v>
      </c>
      <c r="B385" s="8" t="inlineStr">
        <is>
          <t>Racial</t>
        </is>
      </c>
      <c r="C385" s="8" t="inlineStr">
        <is>
          <t>Válečný štváč</t>
        </is>
      </c>
      <c r="D385" s="8" t="n">
        <v>15</v>
      </c>
      <c r="E385" s="8" t="inlineStr">
        <is>
          <t>SP</t>
        </is>
      </c>
      <c r="F385" s="9" t="inlineStr">
        <is>
          <t>Gorheth; Velení I</t>
        </is>
      </c>
      <c r="G385" s="9" t="inlineStr">
        <is>
          <t>Bonus +5% do Velení, může 1x za den opakovat hod na Velení</t>
        </is>
      </c>
    </row>
    <row r="386">
      <c r="A386" s="8" t="n">
        <v>819</v>
      </c>
      <c r="B386" s="8" t="inlineStr">
        <is>
          <t>Racial</t>
        </is>
      </c>
      <c r="C386" s="8" t="inlineStr">
        <is>
          <t>Precizní bojovník</t>
        </is>
      </c>
      <c r="D386" s="8" t="n">
        <v>10</v>
      </c>
      <c r="E386" s="8" t="inlineStr">
        <is>
          <t>CP</t>
        </is>
      </c>
      <c r="F386" s="9" t="inlineStr">
        <is>
          <t>Gorheth; Adept boje</t>
        </is>
      </c>
      <c r="G386" s="9" t="inlineStr">
        <is>
          <t>Může 1x za den opakovat hod na Zásah, Obranu nebo Vrh.</t>
        </is>
      </c>
    </row>
    <row r="387">
      <c r="A387" s="8" t="n">
        <v>821</v>
      </c>
      <c r="B387" s="8" t="inlineStr">
        <is>
          <t>Racial</t>
        </is>
      </c>
      <c r="C387" s="8" t="inlineStr">
        <is>
          <t>Smrtící spáry</t>
        </is>
      </c>
      <c r="D387" s="8" t="n">
        <v>10</v>
      </c>
      <c r="E387" s="8" t="inlineStr">
        <is>
          <t>CP</t>
        </is>
      </c>
      <c r="F387" s="9" t="inlineStr">
        <is>
          <t>Gorheth; Zbraň IV</t>
        </is>
      </c>
      <c r="G387" s="9" t="inlineStr">
        <is>
          <t>Zvyšuje šanci na způsobení Krvácení o +10% a Kritický rozsah o 2</t>
        </is>
      </c>
    </row>
    <row r="388">
      <c r="A388" s="8" t="n">
        <v>823</v>
      </c>
      <c r="B388" s="8" t="inlineStr">
        <is>
          <t>Racial</t>
        </is>
      </c>
      <c r="C388" s="8" t="inlineStr">
        <is>
          <t>Orlí zteč</t>
        </is>
      </c>
      <c r="D388" s="8" t="n">
        <v>15</v>
      </c>
      <c r="E388" s="8" t="inlineStr">
        <is>
          <t>CP</t>
        </is>
      </c>
      <c r="F388" s="9" t="inlineStr">
        <is>
          <t>Gorheth; Zbraň IV</t>
        </is>
      </c>
      <c r="G388" s="9" t="inlineStr">
        <is>
          <t>Akce "Zteč" získává bonus na Zásah +5% a bonus +2d4 do zranění.</t>
        </is>
      </c>
    </row>
    <row r="389">
      <c r="A389" s="8" t="n">
        <v>825</v>
      </c>
      <c r="B389" s="8" t="inlineStr">
        <is>
          <t>Racial</t>
        </is>
      </c>
      <c r="C389" s="8" t="inlineStr">
        <is>
          <t>Bohy milovaný</t>
        </is>
      </c>
      <c r="D389" s="8" t="n">
        <v>20</v>
      </c>
      <c r="E389" s="8" t="inlineStr">
        <is>
          <t>SP</t>
        </is>
      </c>
      <c r="F389" s="9" t="inlineStr">
        <is>
          <t>Thoheth; Dokončená specilizace Kněz</t>
        </is>
      </c>
      <c r="G389" s="9" t="inlineStr">
        <is>
          <t>Může si jednou vybrat druhý bonus za dokončení specializace Kněz.</t>
        </is>
      </c>
    </row>
    <row r="390">
      <c r="A390" s="8" t="n">
        <v>827</v>
      </c>
      <c r="B390" s="8" t="inlineStr">
        <is>
          <t>Racial</t>
        </is>
      </c>
      <c r="C390" s="8" t="inlineStr">
        <is>
          <t>Vznešená kasta</t>
        </is>
      </c>
      <c r="D390" s="8" t="n">
        <v>15</v>
      </c>
      <c r="E390" s="8" t="inlineStr">
        <is>
          <t>SP</t>
        </is>
      </c>
      <c r="F390" s="9" t="inlineStr">
        <is>
          <t>Thoheth</t>
        </is>
      </c>
      <c r="G390" s="9" t="inlineStr">
        <is>
          <t>Bonus +5% do Přesvědčování a Věštění, může 1x za den opakovat hod na Přesvědčování nebo Věštění.</t>
        </is>
      </c>
    </row>
    <row r="391">
      <c r="A391" s="8" t="n">
        <v>829</v>
      </c>
      <c r="B391" s="8" t="inlineStr">
        <is>
          <t>Racial</t>
        </is>
      </c>
      <c r="C391" s="8" t="inlineStr">
        <is>
          <t>Vůle bohů</t>
        </is>
      </c>
      <c r="D391" s="8" t="n">
        <v>10</v>
      </c>
      <c r="E391" s="8" t="inlineStr">
        <is>
          <t>CP</t>
        </is>
      </c>
      <c r="F391" s="9" t="inlineStr">
        <is>
          <t>Thoheth; Víra 4</t>
        </is>
      </c>
      <c r="G391" s="9" t="inlineStr">
        <is>
          <t>Získává Vůle*1 Svaté energie.</t>
        </is>
      </c>
    </row>
    <row r="392">
      <c r="A392" s="8" t="n">
        <v>831</v>
      </c>
      <c r="B392" s="8" t="inlineStr">
        <is>
          <t>Racial</t>
        </is>
      </c>
      <c r="C392" s="8" t="inlineStr">
        <is>
          <t>Ochrana nebes</t>
        </is>
      </c>
      <c r="D392" s="8" t="n">
        <v>5</v>
      </c>
      <c r="E392" s="8" t="inlineStr">
        <is>
          <t>CP</t>
        </is>
      </c>
      <c r="F392" s="9" t="inlineStr">
        <is>
          <t>Thoheth; Víra 5</t>
        </is>
      </c>
      <c r="G392" s="9" t="inlineStr">
        <is>
          <t>Může používat Svatou energii místo Životů.</t>
        </is>
      </c>
    </row>
  </sheetData>
  <autoFilter ref="A1:G3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2026-09-11T07:57:59Z</dcterms:created>
  <dcterms:modified xsi:type="dcterms:W3CDTF">2026-09-11T07:58:24Z</dcterms:modified>
</cp:coreProperties>
</file>